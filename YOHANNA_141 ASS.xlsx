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BILLY\"/>
    </mc:Choice>
  </mc:AlternateContent>
  <xr:revisionPtr revIDLastSave="0" documentId="13_ncr:1_{423E9DD2-3F55-492C-88E4-714CA7774373}" xr6:coauthVersionLast="47" xr6:coauthVersionMax="47" xr10:uidLastSave="{00000000-0000-0000-0000-000000000000}"/>
  <bookViews>
    <workbookView xWindow="-120" yWindow="-120" windowWidth="20730" windowHeight="11160" activeTab="1" xr2:uid="{FB46BD2E-2121-4FA5-90B2-E7B1A2EC2466}"/>
  </bookViews>
  <sheets>
    <sheet name="Pivottable" sheetId="4" r:id="rId1"/>
    <sheet name="Dashboard" sheetId="5" r:id="rId2"/>
    <sheet name="Sales" sheetId="1" r:id="rId3"/>
    <sheet name="Products" sheetId="2" r:id="rId4"/>
    <sheet name="Customer_info" sheetId="3" r:id="rId5"/>
  </sheets>
  <definedNames>
    <definedName name="_xlcn.WorksheetConnection_Ecommerce_Analytics_Practice_Dataset.xlsxTable11" hidden="1">Table1[]</definedName>
    <definedName name="_xlcn.WorksheetConnection_Ecommerce_Analytics_Practice_Dataset.xlsxTable21" hidden="1">Table2[]</definedName>
    <definedName name="_xlcn.WorksheetConnection_Ecommerce_Analytics_Practice_Dataset.xlsxTable31" hidden="1">Table3[]</definedName>
    <definedName name="Slicer_Category">#N/A</definedName>
    <definedName name="Slicer_Country">#N/A</definedName>
  </definedNames>
  <calcPr calcId="191029"/>
  <pivotCaches>
    <pivotCache cacheId="0" r:id="rId6"/>
    <pivotCache cacheId="1" r:id="rId7"/>
    <pivotCache cacheId="2" r:id="rId8"/>
    <pivotCache cacheId="3" r:id="rId9"/>
    <pivotCache cacheId="4" r:id="rId10"/>
    <pivotCache cacheId="5" r:id="rId11"/>
  </pivotCaches>
  <extLst>
    <ext xmlns:x14="http://schemas.microsoft.com/office/spreadsheetml/2009/9/main" uri="{876F7934-8845-4945-9796-88D515C7AA90}">
      <x14:pivotCaches>
        <pivotCache cacheId="6" r:id="rId12"/>
        <pivotCache cacheId="7"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Ecommerce_Analytics_Practice_Dataset.xlsx!Table3"/>
          <x15:modelTable id="Table2" name="Table2" connection="WorksheetConnection_Ecommerce_Analytics_Practice_Dataset.xlsx!Table2"/>
          <x15:modelTable id="Table1" name="Table1" connection="WorksheetConnection_Ecommerce_Analytics_Practice_Dataset.xlsx!Table1"/>
        </x15:modelTables>
        <x15:modelRelationships>
          <x15:modelRelationship fromTable="Table1" fromColumn="ProductID" toTable="Table2" toColumn="ProductID"/>
          <x15:modelRelationship fromTable="Table1" fromColumn="CustomerID" toTable="Table3" toColumn="CustomerID"/>
        </x15:modelRelationships>
        <x15:extLst>
          <ext xmlns:x16="http://schemas.microsoft.com/office/spreadsheetml/2014/11/main" uri="{9835A34E-60A6-4A7C-AAB8-D5F71C897F49}">
            <x16:modelTimeGroupings>
              <x16:modelTimeGrouping tableName="Table1" columnName="OrderDate" columnId="OrderDate">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62" i="1" l="1"/>
  <c r="E362" i="1"/>
  <c r="J335"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H2" i="1"/>
  <c r="J2" i="1" s="1"/>
  <c r="H3" i="1"/>
  <c r="J3" i="1" s="1"/>
  <c r="H4" i="1"/>
  <c r="J4" i="1" s="1"/>
  <c r="H5" i="1"/>
  <c r="J5" i="1" s="1"/>
  <c r="H6" i="1"/>
  <c r="J6" i="1" s="1"/>
  <c r="H7" i="1"/>
  <c r="J7" i="1" s="1"/>
  <c r="H8" i="1"/>
  <c r="J8" i="1" s="1"/>
  <c r="H9" i="1"/>
  <c r="J9" i="1" s="1"/>
  <c r="H10" i="1"/>
  <c r="J10" i="1" s="1"/>
  <c r="H11" i="1"/>
  <c r="J11" i="1" s="1"/>
  <c r="H12" i="1"/>
  <c r="J12" i="1" s="1"/>
  <c r="H13" i="1"/>
  <c r="J13" i="1" s="1"/>
  <c r="H14" i="1"/>
  <c r="J14" i="1" s="1"/>
  <c r="H15" i="1"/>
  <c r="J15" i="1" s="1"/>
  <c r="H16" i="1"/>
  <c r="J16" i="1" s="1"/>
  <c r="H17" i="1"/>
  <c r="J17" i="1" s="1"/>
  <c r="H18" i="1"/>
  <c r="J18" i="1" s="1"/>
  <c r="H19" i="1"/>
  <c r="J19" i="1" s="1"/>
  <c r="H20" i="1"/>
  <c r="J20" i="1" s="1"/>
  <c r="H21" i="1"/>
  <c r="J21" i="1" s="1"/>
  <c r="H22" i="1"/>
  <c r="J22" i="1" s="1"/>
  <c r="H23" i="1"/>
  <c r="J23" i="1" s="1"/>
  <c r="H24" i="1"/>
  <c r="J24" i="1" s="1"/>
  <c r="H25" i="1"/>
  <c r="J25" i="1" s="1"/>
  <c r="H26" i="1"/>
  <c r="J26" i="1" s="1"/>
  <c r="H27" i="1"/>
  <c r="J27" i="1" s="1"/>
  <c r="H28" i="1"/>
  <c r="J28" i="1" s="1"/>
  <c r="H29" i="1"/>
  <c r="J29" i="1" s="1"/>
  <c r="H30" i="1"/>
  <c r="J30" i="1" s="1"/>
  <c r="H31" i="1"/>
  <c r="J31" i="1" s="1"/>
  <c r="H32" i="1"/>
  <c r="J32" i="1" s="1"/>
  <c r="H33" i="1"/>
  <c r="J33" i="1" s="1"/>
  <c r="H34" i="1"/>
  <c r="J34" i="1" s="1"/>
  <c r="H35" i="1"/>
  <c r="J35" i="1" s="1"/>
  <c r="H36" i="1"/>
  <c r="J36" i="1" s="1"/>
  <c r="H37" i="1"/>
  <c r="J37" i="1" s="1"/>
  <c r="H38" i="1"/>
  <c r="J38" i="1" s="1"/>
  <c r="H39" i="1"/>
  <c r="J39" i="1" s="1"/>
  <c r="H40" i="1"/>
  <c r="J40" i="1" s="1"/>
  <c r="H41" i="1"/>
  <c r="J41" i="1" s="1"/>
  <c r="H42" i="1"/>
  <c r="J42" i="1" s="1"/>
  <c r="H43" i="1"/>
  <c r="J43" i="1" s="1"/>
  <c r="H44" i="1"/>
  <c r="J44" i="1" s="1"/>
  <c r="H45" i="1"/>
  <c r="J45" i="1" s="1"/>
  <c r="H46" i="1"/>
  <c r="J46" i="1" s="1"/>
  <c r="H47" i="1"/>
  <c r="J47" i="1" s="1"/>
  <c r="H48" i="1"/>
  <c r="J48" i="1" s="1"/>
  <c r="H49" i="1"/>
  <c r="J49" i="1" s="1"/>
  <c r="H50" i="1"/>
  <c r="J50" i="1" s="1"/>
  <c r="H51" i="1"/>
  <c r="J51" i="1" s="1"/>
  <c r="H52" i="1"/>
  <c r="J52" i="1" s="1"/>
  <c r="H53" i="1"/>
  <c r="J53" i="1" s="1"/>
  <c r="H54" i="1"/>
  <c r="J54" i="1" s="1"/>
  <c r="H55" i="1"/>
  <c r="J55" i="1" s="1"/>
  <c r="H56" i="1"/>
  <c r="J56" i="1" s="1"/>
  <c r="H57" i="1"/>
  <c r="J57" i="1" s="1"/>
  <c r="H58" i="1"/>
  <c r="J58" i="1" s="1"/>
  <c r="H59" i="1"/>
  <c r="J59" i="1" s="1"/>
  <c r="H60" i="1"/>
  <c r="J60" i="1" s="1"/>
  <c r="H61" i="1"/>
  <c r="J61" i="1" s="1"/>
  <c r="H62" i="1"/>
  <c r="J62" i="1" s="1"/>
  <c r="H63" i="1"/>
  <c r="J63" i="1" s="1"/>
  <c r="H64" i="1"/>
  <c r="J64" i="1" s="1"/>
  <c r="H65" i="1"/>
  <c r="J65" i="1" s="1"/>
  <c r="H66" i="1"/>
  <c r="J66" i="1" s="1"/>
  <c r="H67" i="1"/>
  <c r="J67" i="1" s="1"/>
  <c r="H68" i="1"/>
  <c r="J68" i="1" s="1"/>
  <c r="H69" i="1"/>
  <c r="J69" i="1" s="1"/>
  <c r="H70" i="1"/>
  <c r="J70" i="1" s="1"/>
  <c r="H71" i="1"/>
  <c r="J71" i="1" s="1"/>
  <c r="H72" i="1"/>
  <c r="J72" i="1" s="1"/>
  <c r="H73" i="1"/>
  <c r="J73" i="1" s="1"/>
  <c r="H74" i="1"/>
  <c r="J74" i="1" s="1"/>
  <c r="H75" i="1"/>
  <c r="J75" i="1" s="1"/>
  <c r="H76" i="1"/>
  <c r="J76" i="1" s="1"/>
  <c r="H77" i="1"/>
  <c r="J77" i="1" s="1"/>
  <c r="H78" i="1"/>
  <c r="J78" i="1" s="1"/>
  <c r="H79" i="1"/>
  <c r="J79" i="1" s="1"/>
  <c r="H80" i="1"/>
  <c r="J80" i="1" s="1"/>
  <c r="H81" i="1"/>
  <c r="J81" i="1" s="1"/>
  <c r="H82" i="1"/>
  <c r="J82" i="1" s="1"/>
  <c r="H83" i="1"/>
  <c r="J83" i="1" s="1"/>
  <c r="H84" i="1"/>
  <c r="J84" i="1" s="1"/>
  <c r="H85" i="1"/>
  <c r="J85" i="1" s="1"/>
  <c r="H86" i="1"/>
  <c r="J86" i="1" s="1"/>
  <c r="H87" i="1"/>
  <c r="J87" i="1" s="1"/>
  <c r="H88" i="1"/>
  <c r="J88" i="1" s="1"/>
  <c r="H89" i="1"/>
  <c r="J89" i="1" s="1"/>
  <c r="H90" i="1"/>
  <c r="J90" i="1" s="1"/>
  <c r="H91" i="1"/>
  <c r="J91" i="1" s="1"/>
  <c r="H92" i="1"/>
  <c r="J92" i="1" s="1"/>
  <c r="H93" i="1"/>
  <c r="J93" i="1" s="1"/>
  <c r="H94" i="1"/>
  <c r="J94" i="1" s="1"/>
  <c r="H95" i="1"/>
  <c r="J95" i="1" s="1"/>
  <c r="H96" i="1"/>
  <c r="J96" i="1" s="1"/>
  <c r="H97" i="1"/>
  <c r="J97" i="1" s="1"/>
  <c r="H98" i="1"/>
  <c r="J98" i="1" s="1"/>
  <c r="H99" i="1"/>
  <c r="J99" i="1" s="1"/>
  <c r="H100" i="1"/>
  <c r="J100" i="1" s="1"/>
  <c r="H101" i="1"/>
  <c r="J101" i="1" s="1"/>
  <c r="H102" i="1"/>
  <c r="J102" i="1" s="1"/>
  <c r="H103" i="1"/>
  <c r="J103" i="1" s="1"/>
  <c r="H104" i="1"/>
  <c r="J104" i="1" s="1"/>
  <c r="H105" i="1"/>
  <c r="J105" i="1" s="1"/>
  <c r="H106" i="1"/>
  <c r="J106" i="1" s="1"/>
  <c r="H107" i="1"/>
  <c r="J107" i="1" s="1"/>
  <c r="H108" i="1"/>
  <c r="J108" i="1" s="1"/>
  <c r="H109" i="1"/>
  <c r="J109" i="1" s="1"/>
  <c r="H110" i="1"/>
  <c r="J110" i="1" s="1"/>
  <c r="H111" i="1"/>
  <c r="J111" i="1" s="1"/>
  <c r="H112" i="1"/>
  <c r="J112" i="1" s="1"/>
  <c r="H113" i="1"/>
  <c r="J113" i="1" s="1"/>
  <c r="H114" i="1"/>
  <c r="J114" i="1" s="1"/>
  <c r="H115" i="1"/>
  <c r="J115" i="1" s="1"/>
  <c r="H116" i="1"/>
  <c r="J116" i="1" s="1"/>
  <c r="H117" i="1"/>
  <c r="J117" i="1" s="1"/>
  <c r="H118" i="1"/>
  <c r="J118" i="1" s="1"/>
  <c r="H119" i="1"/>
  <c r="J119" i="1" s="1"/>
  <c r="H120" i="1"/>
  <c r="J120" i="1" s="1"/>
  <c r="H121" i="1"/>
  <c r="J121" i="1" s="1"/>
  <c r="H122" i="1"/>
  <c r="J122" i="1" s="1"/>
  <c r="H123" i="1"/>
  <c r="J123" i="1" s="1"/>
  <c r="H124" i="1"/>
  <c r="J124" i="1" s="1"/>
  <c r="H125" i="1"/>
  <c r="J125" i="1" s="1"/>
  <c r="H126" i="1"/>
  <c r="J126" i="1" s="1"/>
  <c r="H127" i="1"/>
  <c r="J127" i="1" s="1"/>
  <c r="H128" i="1"/>
  <c r="J128" i="1" s="1"/>
  <c r="H129" i="1"/>
  <c r="J129" i="1" s="1"/>
  <c r="H130" i="1"/>
  <c r="J130" i="1" s="1"/>
  <c r="H131" i="1"/>
  <c r="J131" i="1" s="1"/>
  <c r="H132" i="1"/>
  <c r="J132" i="1" s="1"/>
  <c r="H133" i="1"/>
  <c r="J133" i="1" s="1"/>
  <c r="H134" i="1"/>
  <c r="J134" i="1" s="1"/>
  <c r="H135" i="1"/>
  <c r="J135" i="1" s="1"/>
  <c r="H136" i="1"/>
  <c r="J136" i="1" s="1"/>
  <c r="H137" i="1"/>
  <c r="J137" i="1" s="1"/>
  <c r="H138" i="1"/>
  <c r="J138" i="1" s="1"/>
  <c r="H139" i="1"/>
  <c r="J139" i="1" s="1"/>
  <c r="H140" i="1"/>
  <c r="J140" i="1" s="1"/>
  <c r="H141" i="1"/>
  <c r="J141" i="1" s="1"/>
  <c r="H142" i="1"/>
  <c r="J142" i="1" s="1"/>
  <c r="H143" i="1"/>
  <c r="J143" i="1" s="1"/>
  <c r="H144" i="1"/>
  <c r="J144" i="1" s="1"/>
  <c r="H145" i="1"/>
  <c r="J145" i="1" s="1"/>
  <c r="H146" i="1"/>
  <c r="J146" i="1" s="1"/>
  <c r="H147" i="1"/>
  <c r="J147" i="1" s="1"/>
  <c r="H148" i="1"/>
  <c r="J148" i="1" s="1"/>
  <c r="H149" i="1"/>
  <c r="J149" i="1" s="1"/>
  <c r="H150" i="1"/>
  <c r="J150" i="1" s="1"/>
  <c r="H151" i="1"/>
  <c r="J151" i="1" s="1"/>
  <c r="H152" i="1"/>
  <c r="J152" i="1" s="1"/>
  <c r="H153" i="1"/>
  <c r="J153" i="1" s="1"/>
  <c r="H154" i="1"/>
  <c r="J154" i="1" s="1"/>
  <c r="H155" i="1"/>
  <c r="J155" i="1" s="1"/>
  <c r="H156" i="1"/>
  <c r="J156" i="1" s="1"/>
  <c r="H157" i="1"/>
  <c r="J157" i="1" s="1"/>
  <c r="H158" i="1"/>
  <c r="J158" i="1" s="1"/>
  <c r="H159" i="1"/>
  <c r="J159" i="1" s="1"/>
  <c r="H160" i="1"/>
  <c r="J160" i="1" s="1"/>
  <c r="H161" i="1"/>
  <c r="J161" i="1" s="1"/>
  <c r="H162" i="1"/>
  <c r="J162" i="1" s="1"/>
  <c r="H163" i="1"/>
  <c r="J163" i="1" s="1"/>
  <c r="H164" i="1"/>
  <c r="J164" i="1" s="1"/>
  <c r="H165" i="1"/>
  <c r="J165" i="1" s="1"/>
  <c r="H166" i="1"/>
  <c r="J166" i="1" s="1"/>
  <c r="H167" i="1"/>
  <c r="J167" i="1" s="1"/>
  <c r="H168" i="1"/>
  <c r="J168" i="1" s="1"/>
  <c r="H169" i="1"/>
  <c r="J169" i="1" s="1"/>
  <c r="H170" i="1"/>
  <c r="J170" i="1" s="1"/>
  <c r="H171" i="1"/>
  <c r="J171" i="1" s="1"/>
  <c r="H172" i="1"/>
  <c r="J172" i="1" s="1"/>
  <c r="H173" i="1"/>
  <c r="J173" i="1" s="1"/>
  <c r="H174" i="1"/>
  <c r="J174" i="1" s="1"/>
  <c r="H175" i="1"/>
  <c r="J175" i="1" s="1"/>
  <c r="H176" i="1"/>
  <c r="J176" i="1" s="1"/>
  <c r="H177" i="1"/>
  <c r="J177" i="1" s="1"/>
  <c r="H178" i="1"/>
  <c r="J178" i="1" s="1"/>
  <c r="H179" i="1"/>
  <c r="J179" i="1" s="1"/>
  <c r="H180" i="1"/>
  <c r="J180" i="1" s="1"/>
  <c r="H181" i="1"/>
  <c r="J181" i="1" s="1"/>
  <c r="H182" i="1"/>
  <c r="J182" i="1" s="1"/>
  <c r="H183" i="1"/>
  <c r="J183" i="1" s="1"/>
  <c r="H184" i="1"/>
  <c r="J184" i="1" s="1"/>
  <c r="H185" i="1"/>
  <c r="J185" i="1" s="1"/>
  <c r="H186" i="1"/>
  <c r="J186" i="1" s="1"/>
  <c r="H187" i="1"/>
  <c r="J187" i="1" s="1"/>
  <c r="H188" i="1"/>
  <c r="J188" i="1" s="1"/>
  <c r="H189" i="1"/>
  <c r="J189" i="1" s="1"/>
  <c r="H190" i="1"/>
  <c r="J190" i="1" s="1"/>
  <c r="H191" i="1"/>
  <c r="J191" i="1" s="1"/>
  <c r="H192" i="1"/>
  <c r="J192" i="1" s="1"/>
  <c r="H193" i="1"/>
  <c r="J193" i="1" s="1"/>
  <c r="H194" i="1"/>
  <c r="J194" i="1" s="1"/>
  <c r="H195" i="1"/>
  <c r="J195" i="1" s="1"/>
  <c r="H196" i="1"/>
  <c r="J196" i="1" s="1"/>
  <c r="H197" i="1"/>
  <c r="J197" i="1" s="1"/>
  <c r="H198" i="1"/>
  <c r="J198" i="1" s="1"/>
  <c r="H199" i="1"/>
  <c r="J199" i="1" s="1"/>
  <c r="H200" i="1"/>
  <c r="J200" i="1" s="1"/>
  <c r="H201" i="1"/>
  <c r="J201" i="1" s="1"/>
  <c r="H202" i="1"/>
  <c r="J202" i="1" s="1"/>
  <c r="H203" i="1"/>
  <c r="J203" i="1" s="1"/>
  <c r="H204" i="1"/>
  <c r="J204" i="1" s="1"/>
  <c r="H205" i="1"/>
  <c r="J205" i="1" s="1"/>
  <c r="H206" i="1"/>
  <c r="J206" i="1" s="1"/>
  <c r="H207" i="1"/>
  <c r="J207" i="1" s="1"/>
  <c r="H208" i="1"/>
  <c r="J208" i="1" s="1"/>
  <c r="H209" i="1"/>
  <c r="J209" i="1" s="1"/>
  <c r="H210" i="1"/>
  <c r="J210" i="1" s="1"/>
  <c r="H211" i="1"/>
  <c r="J211" i="1" s="1"/>
  <c r="H212" i="1"/>
  <c r="J212" i="1" s="1"/>
  <c r="H213" i="1"/>
  <c r="J213" i="1" s="1"/>
  <c r="H214" i="1"/>
  <c r="J214" i="1" s="1"/>
  <c r="H215" i="1"/>
  <c r="J215" i="1" s="1"/>
  <c r="H216" i="1"/>
  <c r="J216" i="1" s="1"/>
  <c r="H217" i="1"/>
  <c r="J217" i="1" s="1"/>
  <c r="H218" i="1"/>
  <c r="J218" i="1" s="1"/>
  <c r="H219" i="1"/>
  <c r="J219" i="1" s="1"/>
  <c r="H220" i="1"/>
  <c r="J220" i="1" s="1"/>
  <c r="H221" i="1"/>
  <c r="J221" i="1" s="1"/>
  <c r="H222" i="1"/>
  <c r="J222" i="1" s="1"/>
  <c r="H223" i="1"/>
  <c r="J223" i="1" s="1"/>
  <c r="H224" i="1"/>
  <c r="J224" i="1" s="1"/>
  <c r="H225" i="1"/>
  <c r="J225" i="1" s="1"/>
  <c r="H226" i="1"/>
  <c r="J226" i="1" s="1"/>
  <c r="H227" i="1"/>
  <c r="J227" i="1" s="1"/>
  <c r="H228" i="1"/>
  <c r="J228" i="1" s="1"/>
  <c r="H229" i="1"/>
  <c r="J229" i="1" s="1"/>
  <c r="H230" i="1"/>
  <c r="J230" i="1" s="1"/>
  <c r="H231" i="1"/>
  <c r="J231" i="1" s="1"/>
  <c r="H232" i="1"/>
  <c r="J232" i="1" s="1"/>
  <c r="H233" i="1"/>
  <c r="J233" i="1" s="1"/>
  <c r="H234" i="1"/>
  <c r="J234" i="1" s="1"/>
  <c r="H235" i="1"/>
  <c r="J235" i="1" s="1"/>
  <c r="H236" i="1"/>
  <c r="J236" i="1" s="1"/>
  <c r="H237" i="1"/>
  <c r="J237" i="1" s="1"/>
  <c r="H238" i="1"/>
  <c r="J238" i="1" s="1"/>
  <c r="H239" i="1"/>
  <c r="J239" i="1" s="1"/>
  <c r="H240" i="1"/>
  <c r="J240" i="1" s="1"/>
  <c r="H241" i="1"/>
  <c r="J241" i="1" s="1"/>
  <c r="H242" i="1"/>
  <c r="J242" i="1" s="1"/>
  <c r="H243" i="1"/>
  <c r="J243" i="1" s="1"/>
  <c r="H244" i="1"/>
  <c r="J244" i="1" s="1"/>
  <c r="H245" i="1"/>
  <c r="J245" i="1" s="1"/>
  <c r="H246" i="1"/>
  <c r="J246" i="1" s="1"/>
  <c r="H247" i="1"/>
  <c r="J247" i="1" s="1"/>
  <c r="H248" i="1"/>
  <c r="J248" i="1" s="1"/>
  <c r="H249" i="1"/>
  <c r="J249" i="1" s="1"/>
  <c r="H250" i="1"/>
  <c r="J250" i="1" s="1"/>
  <c r="H251" i="1"/>
  <c r="J251" i="1" s="1"/>
  <c r="H252" i="1"/>
  <c r="J252" i="1" s="1"/>
  <c r="H253" i="1"/>
  <c r="J253" i="1" s="1"/>
  <c r="H254" i="1"/>
  <c r="J254" i="1" s="1"/>
  <c r="H255" i="1"/>
  <c r="J255" i="1" s="1"/>
  <c r="H256" i="1"/>
  <c r="J256" i="1" s="1"/>
  <c r="H257" i="1"/>
  <c r="J257" i="1" s="1"/>
  <c r="H258" i="1"/>
  <c r="J258" i="1" s="1"/>
  <c r="H259" i="1"/>
  <c r="J259" i="1" s="1"/>
  <c r="H260" i="1"/>
  <c r="J260" i="1" s="1"/>
  <c r="H261" i="1"/>
  <c r="J261" i="1" s="1"/>
  <c r="H262" i="1"/>
  <c r="J262" i="1" s="1"/>
  <c r="H263" i="1"/>
  <c r="J263" i="1" s="1"/>
  <c r="H264" i="1"/>
  <c r="J264" i="1" s="1"/>
  <c r="H265" i="1"/>
  <c r="J265" i="1" s="1"/>
  <c r="H266" i="1"/>
  <c r="J266" i="1" s="1"/>
  <c r="H267" i="1"/>
  <c r="J267" i="1" s="1"/>
  <c r="H268" i="1"/>
  <c r="J268" i="1" s="1"/>
  <c r="H269" i="1"/>
  <c r="J269" i="1" s="1"/>
  <c r="H270" i="1"/>
  <c r="J270" i="1" s="1"/>
  <c r="H271" i="1"/>
  <c r="J271" i="1" s="1"/>
  <c r="H272" i="1"/>
  <c r="J272" i="1" s="1"/>
  <c r="H273" i="1"/>
  <c r="J273" i="1" s="1"/>
  <c r="H274" i="1"/>
  <c r="J274" i="1" s="1"/>
  <c r="H275" i="1"/>
  <c r="J275" i="1" s="1"/>
  <c r="H276" i="1"/>
  <c r="J276" i="1" s="1"/>
  <c r="H277" i="1"/>
  <c r="J277" i="1" s="1"/>
  <c r="H278" i="1"/>
  <c r="J278" i="1" s="1"/>
  <c r="H279" i="1"/>
  <c r="J279" i="1" s="1"/>
  <c r="H280" i="1"/>
  <c r="J280" i="1" s="1"/>
  <c r="H281" i="1"/>
  <c r="J281" i="1" s="1"/>
  <c r="H282" i="1"/>
  <c r="J282" i="1" s="1"/>
  <c r="H283" i="1"/>
  <c r="J283" i="1" s="1"/>
  <c r="H284" i="1"/>
  <c r="J284" i="1" s="1"/>
  <c r="H285" i="1"/>
  <c r="J285" i="1" s="1"/>
  <c r="H286" i="1"/>
  <c r="J286" i="1" s="1"/>
  <c r="H287" i="1"/>
  <c r="J287" i="1" s="1"/>
  <c r="H288" i="1"/>
  <c r="J288" i="1" s="1"/>
  <c r="H289" i="1"/>
  <c r="J289" i="1" s="1"/>
  <c r="H290" i="1"/>
  <c r="J290" i="1" s="1"/>
  <c r="H291" i="1"/>
  <c r="J291" i="1" s="1"/>
  <c r="H292" i="1"/>
  <c r="J292" i="1" s="1"/>
  <c r="H293" i="1"/>
  <c r="J293" i="1" s="1"/>
  <c r="H294" i="1"/>
  <c r="J294" i="1" s="1"/>
  <c r="H295" i="1"/>
  <c r="J295" i="1" s="1"/>
  <c r="H296" i="1"/>
  <c r="J296" i="1" s="1"/>
  <c r="H297" i="1"/>
  <c r="J297" i="1" s="1"/>
  <c r="H298" i="1"/>
  <c r="J298" i="1" s="1"/>
  <c r="H299" i="1"/>
  <c r="J299" i="1" s="1"/>
  <c r="H300" i="1"/>
  <c r="J300" i="1" s="1"/>
  <c r="H301" i="1"/>
  <c r="J301" i="1" s="1"/>
  <c r="H302" i="1"/>
  <c r="J302" i="1" s="1"/>
  <c r="H303" i="1"/>
  <c r="J303" i="1" s="1"/>
  <c r="H304" i="1"/>
  <c r="J304" i="1" s="1"/>
  <c r="H305" i="1"/>
  <c r="J305" i="1" s="1"/>
  <c r="H306" i="1"/>
  <c r="J306" i="1" s="1"/>
  <c r="H307" i="1"/>
  <c r="J307" i="1" s="1"/>
  <c r="H308" i="1"/>
  <c r="J308" i="1" s="1"/>
  <c r="H309" i="1"/>
  <c r="J309" i="1" s="1"/>
  <c r="H310" i="1"/>
  <c r="J310" i="1" s="1"/>
  <c r="H311" i="1"/>
  <c r="J311" i="1" s="1"/>
  <c r="H312" i="1"/>
  <c r="J312" i="1" s="1"/>
  <c r="H313" i="1"/>
  <c r="J313" i="1" s="1"/>
  <c r="H314" i="1"/>
  <c r="J314" i="1" s="1"/>
  <c r="H315" i="1"/>
  <c r="J315" i="1" s="1"/>
  <c r="H316" i="1"/>
  <c r="J316" i="1" s="1"/>
  <c r="H317" i="1"/>
  <c r="J317" i="1" s="1"/>
  <c r="H318" i="1"/>
  <c r="J318" i="1" s="1"/>
  <c r="H319" i="1"/>
  <c r="J319" i="1" s="1"/>
  <c r="H320" i="1"/>
  <c r="J320" i="1" s="1"/>
  <c r="H321" i="1"/>
  <c r="J321" i="1" s="1"/>
  <c r="H322" i="1"/>
  <c r="J322" i="1" s="1"/>
  <c r="H323" i="1"/>
  <c r="J323" i="1" s="1"/>
  <c r="H324" i="1"/>
  <c r="J324" i="1" s="1"/>
  <c r="H325" i="1"/>
  <c r="J325" i="1" s="1"/>
  <c r="H326" i="1"/>
  <c r="J326" i="1" s="1"/>
  <c r="H327" i="1"/>
  <c r="J327" i="1" s="1"/>
  <c r="H328" i="1"/>
  <c r="J328" i="1" s="1"/>
  <c r="H329" i="1"/>
  <c r="J329" i="1" s="1"/>
  <c r="H330" i="1"/>
  <c r="J330" i="1" s="1"/>
  <c r="H331" i="1"/>
  <c r="J331" i="1" s="1"/>
  <c r="H332" i="1"/>
  <c r="J332" i="1" s="1"/>
  <c r="H333" i="1"/>
  <c r="J333" i="1" s="1"/>
  <c r="H334" i="1"/>
  <c r="J334" i="1" s="1"/>
  <c r="H335" i="1"/>
  <c r="H336" i="1"/>
  <c r="J336" i="1" s="1"/>
  <c r="H337" i="1"/>
  <c r="J337" i="1" s="1"/>
  <c r="H338" i="1"/>
  <c r="J338" i="1" s="1"/>
  <c r="H339" i="1"/>
  <c r="J339" i="1" s="1"/>
  <c r="H340" i="1"/>
  <c r="J340" i="1" s="1"/>
  <c r="H341" i="1"/>
  <c r="J341" i="1" s="1"/>
  <c r="H342" i="1"/>
  <c r="J342" i="1" s="1"/>
  <c r="H343" i="1"/>
  <c r="J343" i="1" s="1"/>
  <c r="H344" i="1"/>
  <c r="J344" i="1" s="1"/>
  <c r="H345" i="1"/>
  <c r="J345" i="1" s="1"/>
  <c r="H346" i="1"/>
  <c r="J346" i="1" s="1"/>
  <c r="H347" i="1"/>
  <c r="J347" i="1" s="1"/>
  <c r="H348" i="1"/>
  <c r="J348" i="1" s="1"/>
  <c r="H349" i="1"/>
  <c r="J349" i="1" s="1"/>
  <c r="H350" i="1"/>
  <c r="J350" i="1" s="1"/>
  <c r="H351" i="1"/>
  <c r="J351" i="1" s="1"/>
  <c r="H352" i="1"/>
  <c r="J352" i="1" s="1"/>
  <c r="H353" i="1"/>
  <c r="J353" i="1" s="1"/>
  <c r="H354" i="1"/>
  <c r="J354" i="1" s="1"/>
  <c r="H355" i="1"/>
  <c r="J355" i="1" s="1"/>
  <c r="H356" i="1"/>
  <c r="J356" i="1" s="1"/>
  <c r="H357" i="1"/>
  <c r="J357" i="1" s="1"/>
  <c r="H358" i="1"/>
  <c r="J358" i="1" s="1"/>
  <c r="H359" i="1"/>
  <c r="J359" i="1" s="1"/>
  <c r="H360" i="1"/>
  <c r="J360" i="1" s="1"/>
  <c r="H361" i="1"/>
  <c r="J361" i="1" s="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5" i="1" l="1"/>
  <c r="G366" i="1"/>
  <c r="G364" i="1"/>
  <c r="G362" i="1"/>
  <c r="G363" i="1"/>
  <c r="J36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F960AA-BE21-4622-91FC-59AB6A1D34F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6F0AB75-81DF-4E34-B165-7AA53FAD5139}" name="WorksheetConnection_Ecommerce_Analytics_Practice_Dataset.xlsx!Table1" type="102" refreshedVersion="8" minRefreshableVersion="5">
    <extLst>
      <ext xmlns:x15="http://schemas.microsoft.com/office/spreadsheetml/2010/11/main" uri="{DE250136-89BD-433C-8126-D09CA5730AF9}">
        <x15:connection id="Table1">
          <x15:rangePr sourceName="_xlcn.WorksheetConnection_Ecommerce_Analytics_Practice_Dataset.xlsxTable11"/>
        </x15:connection>
      </ext>
    </extLst>
  </connection>
  <connection id="3" xr16:uid="{CBEB71FC-C536-4941-AE40-B21ED84B4AB2}" name="WorksheetConnection_Ecommerce_Analytics_Practice_Dataset.xlsx!Table2" type="102" refreshedVersion="8" minRefreshableVersion="5">
    <extLst>
      <ext xmlns:x15="http://schemas.microsoft.com/office/spreadsheetml/2010/11/main" uri="{DE250136-89BD-433C-8126-D09CA5730AF9}">
        <x15:connection id="Table2">
          <x15:rangePr sourceName="_xlcn.WorksheetConnection_Ecommerce_Analytics_Practice_Dataset.xlsxTable21"/>
        </x15:connection>
      </ext>
    </extLst>
  </connection>
  <connection id="4" xr16:uid="{9B75EA97-E0F3-492C-8DE4-DC445724541A}" name="WorksheetConnection_Ecommerce_Analytics_Practice_Dataset.xlsx!Table3" type="102" refreshedVersion="8" minRefreshableVersion="5">
    <extLst>
      <ext xmlns:x15="http://schemas.microsoft.com/office/spreadsheetml/2010/11/main" uri="{DE250136-89BD-433C-8126-D09CA5730AF9}">
        <x15:connection id="Table3">
          <x15:rangePr sourceName="_xlcn.WorksheetConnection_Ecommerce_Analytics_Practice_Dataset.xlsxTable31"/>
        </x15:connection>
      </ext>
    </extLst>
  </connection>
</connections>
</file>

<file path=xl/sharedStrings.xml><?xml version="1.0" encoding="utf-8"?>
<sst xmlns="http://schemas.openxmlformats.org/spreadsheetml/2006/main" count="1748" uniqueCount="841">
  <si>
    <t>OrderID</t>
  </si>
  <si>
    <t>OrderDate</t>
  </si>
  <si>
    <t>CustomerID</t>
  </si>
  <si>
    <t>ProductID</t>
  </si>
  <si>
    <t>Quantity</t>
  </si>
  <si>
    <t>SalesAmount</t>
  </si>
  <si>
    <t>ORD0001</t>
  </si>
  <si>
    <t>CUST115</t>
  </si>
  <si>
    <t>PROD020</t>
  </si>
  <si>
    <t>ORD0002</t>
  </si>
  <si>
    <t>CUST077</t>
  </si>
  <si>
    <t>PROD032</t>
  </si>
  <si>
    <t>ORD0003</t>
  </si>
  <si>
    <t>CUST091</t>
  </si>
  <si>
    <t>PROD017</t>
  </si>
  <si>
    <t>ORD0004</t>
  </si>
  <si>
    <t>CUST097</t>
  </si>
  <si>
    <t>PROD006</t>
  </si>
  <si>
    <t>ORD0005</t>
  </si>
  <si>
    <t>CUST018</t>
  </si>
  <si>
    <t>PROD039</t>
  </si>
  <si>
    <t>ORD0006</t>
  </si>
  <si>
    <t>CUST038</t>
  </si>
  <si>
    <t>PROD007</t>
  </si>
  <si>
    <t>ORD0007</t>
  </si>
  <si>
    <t>CUST060</t>
  </si>
  <si>
    <t>PROD027</t>
  </si>
  <si>
    <t>ORD0008</t>
  </si>
  <si>
    <t>PROD024</t>
  </si>
  <si>
    <t>ORD0009</t>
  </si>
  <si>
    <t>CUST006</t>
  </si>
  <si>
    <t>ORD0010</t>
  </si>
  <si>
    <t>CUST021</t>
  </si>
  <si>
    <t>ORD0011</t>
  </si>
  <si>
    <t>CUST041</t>
  </si>
  <si>
    <t>PROD005</t>
  </si>
  <si>
    <t>ORD0012</t>
  </si>
  <si>
    <t>CUST110</t>
  </si>
  <si>
    <t>PROD028</t>
  </si>
  <si>
    <t>ORD0013</t>
  </si>
  <si>
    <t>CUST025</t>
  </si>
  <si>
    <t>PROD033</t>
  </si>
  <si>
    <t>ORD0014</t>
  </si>
  <si>
    <t>CUST053</t>
  </si>
  <si>
    <t>PROD015</t>
  </si>
  <si>
    <t>ORD0015</t>
  </si>
  <si>
    <t>CUST043</t>
  </si>
  <si>
    <t>ORD0016</t>
  </si>
  <si>
    <t>CUST049</t>
  </si>
  <si>
    <t>PROD031</t>
  </si>
  <si>
    <t>ORD0017</t>
  </si>
  <si>
    <t>CUST080</t>
  </si>
  <si>
    <t>PROD029</t>
  </si>
  <si>
    <t>ORD0018</t>
  </si>
  <si>
    <t>CUST071</t>
  </si>
  <si>
    <t>PROD040</t>
  </si>
  <si>
    <t>ORD0019</t>
  </si>
  <si>
    <t>CUST083</t>
  </si>
  <si>
    <t>ORD0020</t>
  </si>
  <si>
    <t>ORD0021</t>
  </si>
  <si>
    <t>PROD022</t>
  </si>
  <si>
    <t>ORD0022</t>
  </si>
  <si>
    <t>CUST102</t>
  </si>
  <si>
    <t>PROD019</t>
  </si>
  <si>
    <t>ORD0023</t>
  </si>
  <si>
    <t>CUST061</t>
  </si>
  <si>
    <t>ORD0024</t>
  </si>
  <si>
    <t>CUST104</t>
  </si>
  <si>
    <t>PROD013</t>
  </si>
  <si>
    <t>ORD0025</t>
  </si>
  <si>
    <t>CUST027</t>
  </si>
  <si>
    <t>ORD0026</t>
  </si>
  <si>
    <t>PROD016</t>
  </si>
  <si>
    <t>ORD0027</t>
  </si>
  <si>
    <t>CUST001</t>
  </si>
  <si>
    <t>ORD0028</t>
  </si>
  <si>
    <t>CUST056</t>
  </si>
  <si>
    <t>ORD0029</t>
  </si>
  <si>
    <t>CUST034</t>
  </si>
  <si>
    <t>ORD0030</t>
  </si>
  <si>
    <t>CUST098</t>
  </si>
  <si>
    <t>PROD010</t>
  </si>
  <si>
    <t>ORD0031</t>
  </si>
  <si>
    <t>CUST082</t>
  </si>
  <si>
    <t>ORD0032</t>
  </si>
  <si>
    <t>CUST089</t>
  </si>
  <si>
    <t>ORD0033</t>
  </si>
  <si>
    <t>CUST031</t>
  </si>
  <si>
    <t>ORD0034</t>
  </si>
  <si>
    <t>CUST002</t>
  </si>
  <si>
    <t>ORD0035</t>
  </si>
  <si>
    <t>CUST092</t>
  </si>
  <si>
    <t>ORD0036</t>
  </si>
  <si>
    <t>CUST073</t>
  </si>
  <si>
    <t>ORD0037</t>
  </si>
  <si>
    <t>CUST099</t>
  </si>
  <si>
    <t>ORD0038</t>
  </si>
  <si>
    <t>CUST014</t>
  </si>
  <si>
    <t>PROD014</t>
  </si>
  <si>
    <t>ORD0039</t>
  </si>
  <si>
    <t>ORD0040</t>
  </si>
  <si>
    <t>CUST081</t>
  </si>
  <si>
    <t>ORD0041</t>
  </si>
  <si>
    <t>PROD026</t>
  </si>
  <si>
    <t>ORD0042</t>
  </si>
  <si>
    <t>CUST100</t>
  </si>
  <si>
    <t>ORD0043</t>
  </si>
  <si>
    <t>CUST086</t>
  </si>
  <si>
    <t>PROD036</t>
  </si>
  <si>
    <t>ORD0044</t>
  </si>
  <si>
    <t>ORD0045</t>
  </si>
  <si>
    <t>CUST059</t>
  </si>
  <si>
    <t>ORD0046</t>
  </si>
  <si>
    <t>CUST050</t>
  </si>
  <si>
    <t>PROD018</t>
  </si>
  <si>
    <t>ORD0047</t>
  </si>
  <si>
    <t>CUST116</t>
  </si>
  <si>
    <t>ORD0048</t>
  </si>
  <si>
    <t>ORD0049</t>
  </si>
  <si>
    <t>ORD0050</t>
  </si>
  <si>
    <t>CUST096</t>
  </si>
  <si>
    <t>ORD0051</t>
  </si>
  <si>
    <t>PROD035</t>
  </si>
  <si>
    <t>ORD0052</t>
  </si>
  <si>
    <t>PROD012</t>
  </si>
  <si>
    <t>ORD0053</t>
  </si>
  <si>
    <t>CUST042</t>
  </si>
  <si>
    <t>ORD0054</t>
  </si>
  <si>
    <t>CUST085</t>
  </si>
  <si>
    <t>PROD030</t>
  </si>
  <si>
    <t>ORD0055</t>
  </si>
  <si>
    <t>CUST084</t>
  </si>
  <si>
    <t>PROD003</t>
  </si>
  <si>
    <t>ORD0056</t>
  </si>
  <si>
    <t>ORD0057</t>
  </si>
  <si>
    <t>CUST005</t>
  </si>
  <si>
    <t>PROD001</t>
  </si>
  <si>
    <t>ORD0058</t>
  </si>
  <si>
    <t>ORD0059</t>
  </si>
  <si>
    <t>CUST030</t>
  </si>
  <si>
    <t>ORD0060</t>
  </si>
  <si>
    <t>CUST101</t>
  </si>
  <si>
    <t>ORD0061</t>
  </si>
  <si>
    <t>CUST075</t>
  </si>
  <si>
    <t>ORD0062</t>
  </si>
  <si>
    <t>CUST066</t>
  </si>
  <si>
    <t>PROD008</t>
  </si>
  <si>
    <t>ORD0063</t>
  </si>
  <si>
    <t>PROD011</t>
  </si>
  <si>
    <t>ORD0064</t>
  </si>
  <si>
    <t>CUST012</t>
  </si>
  <si>
    <t>ORD0065</t>
  </si>
  <si>
    <t>PROD038</t>
  </si>
  <si>
    <t>ORD0066</t>
  </si>
  <si>
    <t>ORD0067</t>
  </si>
  <si>
    <t>ORD0068</t>
  </si>
  <si>
    <t>ORD0069</t>
  </si>
  <si>
    <t>ORD0070</t>
  </si>
  <si>
    <t>ORD0071</t>
  </si>
  <si>
    <t>CUST079</t>
  </si>
  <si>
    <t>PROD037</t>
  </si>
  <si>
    <t>ORD0072</t>
  </si>
  <si>
    <t>ORD0073</t>
  </si>
  <si>
    <t>ORD0074</t>
  </si>
  <si>
    <t>ORD0075</t>
  </si>
  <si>
    <t>PROD002</t>
  </si>
  <si>
    <t>ORD0076</t>
  </si>
  <si>
    <t>CUST113</t>
  </si>
  <si>
    <t>ORD0077</t>
  </si>
  <si>
    <t>ORD0078</t>
  </si>
  <si>
    <t>CUST003</t>
  </si>
  <si>
    <t>ORD0079</t>
  </si>
  <si>
    <t>CUST111</t>
  </si>
  <si>
    <t>ORD0080</t>
  </si>
  <si>
    <t>CUST062</t>
  </si>
  <si>
    <t>ORD0081</t>
  </si>
  <si>
    <t>CUST035</t>
  </si>
  <si>
    <t>ORD0082</t>
  </si>
  <si>
    <t>PROD009</t>
  </si>
  <si>
    <t>ORD0083</t>
  </si>
  <si>
    <t>CUST107</t>
  </si>
  <si>
    <t>ORD0084</t>
  </si>
  <si>
    <t>CUST088</t>
  </si>
  <si>
    <t>ORD0085</t>
  </si>
  <si>
    <t>ORD0086</t>
  </si>
  <si>
    <t>CUST087</t>
  </si>
  <si>
    <t>ORD0087</t>
  </si>
  <si>
    <t>ORD0088</t>
  </si>
  <si>
    <t>CUST094</t>
  </si>
  <si>
    <t>ORD0089</t>
  </si>
  <si>
    <t>ORD0090</t>
  </si>
  <si>
    <t>ORD0091</t>
  </si>
  <si>
    <t>ORD0092</t>
  </si>
  <si>
    <t>ORD0093</t>
  </si>
  <si>
    <t>ORD0094</t>
  </si>
  <si>
    <t>CUST032</t>
  </si>
  <si>
    <t>PROD023</t>
  </si>
  <si>
    <t>ORD0095</t>
  </si>
  <si>
    <t>CUST069</t>
  </si>
  <si>
    <t>ORD0096</t>
  </si>
  <si>
    <t>ORD0097</t>
  </si>
  <si>
    <t>ORD0098</t>
  </si>
  <si>
    <t>CUST048</t>
  </si>
  <si>
    <t>ORD0099</t>
  </si>
  <si>
    <t>ORD0100</t>
  </si>
  <si>
    <t>ORD0101</t>
  </si>
  <si>
    <t>CUST010</t>
  </si>
  <si>
    <t>ORD0102</t>
  </si>
  <si>
    <t>ORD0103</t>
  </si>
  <si>
    <t>CUST063</t>
  </si>
  <si>
    <t>ORD0104</t>
  </si>
  <si>
    <t>CUST036</t>
  </si>
  <si>
    <t>ORD0105</t>
  </si>
  <si>
    <t>ORD0106</t>
  </si>
  <si>
    <t>CUST046</t>
  </si>
  <si>
    <t>ORD0107</t>
  </si>
  <si>
    <t>ORD0108</t>
  </si>
  <si>
    <t>ORD0109</t>
  </si>
  <si>
    <t>CUST064</t>
  </si>
  <si>
    <t>ORD0110</t>
  </si>
  <si>
    <t>ORD0111</t>
  </si>
  <si>
    <t>ORD0112</t>
  </si>
  <si>
    <t>CUST106</t>
  </si>
  <si>
    <t>ORD0113</t>
  </si>
  <si>
    <t>ORD0114</t>
  </si>
  <si>
    <t>PROD021</t>
  </si>
  <si>
    <t>ORD0115</t>
  </si>
  <si>
    <t>ORD0116</t>
  </si>
  <si>
    <t>ORD0117</t>
  </si>
  <si>
    <t>CUST009</t>
  </si>
  <si>
    <t>ORD0118</t>
  </si>
  <si>
    <t>PROD034</t>
  </si>
  <si>
    <t>ORD0119</t>
  </si>
  <si>
    <t>CUST119</t>
  </si>
  <si>
    <t>ORD0120</t>
  </si>
  <si>
    <t>CUST047</t>
  </si>
  <si>
    <t>ORD0121</t>
  </si>
  <si>
    <t>ORD0122</t>
  </si>
  <si>
    <t>CUST105</t>
  </si>
  <si>
    <t>ORD0123</t>
  </si>
  <si>
    <t>ORD0124</t>
  </si>
  <si>
    <t>CUST015</t>
  </si>
  <si>
    <t>ORD0125</t>
  </si>
  <si>
    <t>CUST029</t>
  </si>
  <si>
    <t>ORD0126</t>
  </si>
  <si>
    <t>CUST008</t>
  </si>
  <si>
    <t>ORD0127</t>
  </si>
  <si>
    <t>CUST114</t>
  </si>
  <si>
    <t>ORD0128</t>
  </si>
  <si>
    <t>CUST026</t>
  </si>
  <si>
    <t>ORD0129</t>
  </si>
  <si>
    <t>ORD0130</t>
  </si>
  <si>
    <t>ORD0131</t>
  </si>
  <si>
    <t>ORD0132</t>
  </si>
  <si>
    <t>ORD0133</t>
  </si>
  <si>
    <t>CUST058</t>
  </si>
  <si>
    <t>ORD0134</t>
  </si>
  <si>
    <t>ORD0135</t>
  </si>
  <si>
    <t>CUST045</t>
  </si>
  <si>
    <t>ORD0136</t>
  </si>
  <si>
    <t>PROD025</t>
  </si>
  <si>
    <t>ORD0137</t>
  </si>
  <si>
    <t>ORD0138</t>
  </si>
  <si>
    <t>ORD0139</t>
  </si>
  <si>
    <t>CUST067</t>
  </si>
  <si>
    <t>ORD0140</t>
  </si>
  <si>
    <t>ORD0141</t>
  </si>
  <si>
    <t>ORD0142</t>
  </si>
  <si>
    <t>ORD0143</t>
  </si>
  <si>
    <t>CUST020</t>
  </si>
  <si>
    <t>ORD0144</t>
  </si>
  <si>
    <t>ORD0145</t>
  </si>
  <si>
    <t>ORD0146</t>
  </si>
  <si>
    <t>ORD0147</t>
  </si>
  <si>
    <t>ORD0148</t>
  </si>
  <si>
    <t>ORD0149</t>
  </si>
  <si>
    <t>ORD0150</t>
  </si>
  <si>
    <t>ORD0151</t>
  </si>
  <si>
    <t>CUST076</t>
  </si>
  <si>
    <t>ORD0152</t>
  </si>
  <si>
    <t>CUST011</t>
  </si>
  <si>
    <t>ORD0153</t>
  </si>
  <si>
    <t>ORD0154</t>
  </si>
  <si>
    <t>CUST019</t>
  </si>
  <si>
    <t>ORD0155</t>
  </si>
  <si>
    <t>ORD0156</t>
  </si>
  <si>
    <t>ORD0157</t>
  </si>
  <si>
    <t>ORD0158</t>
  </si>
  <si>
    <t>ORD0159</t>
  </si>
  <si>
    <t>CUST072</t>
  </si>
  <si>
    <t>ORD0160</t>
  </si>
  <si>
    <t>ORD0161</t>
  </si>
  <si>
    <t>ORD0162</t>
  </si>
  <si>
    <t>ORD0163</t>
  </si>
  <si>
    <t>ORD0164</t>
  </si>
  <si>
    <t>CUST016</t>
  </si>
  <si>
    <t>ORD0165</t>
  </si>
  <si>
    <t>CUST112</t>
  </si>
  <si>
    <t>ORD0166</t>
  </si>
  <si>
    <t>CUST120</t>
  </si>
  <si>
    <t>ORD0167</t>
  </si>
  <si>
    <t>ORD0168</t>
  </si>
  <si>
    <t>CUST103</t>
  </si>
  <si>
    <t>ORD0169</t>
  </si>
  <si>
    <t>PROD004</t>
  </si>
  <si>
    <t>ORD0170</t>
  </si>
  <si>
    <t>ORD0171</t>
  </si>
  <si>
    <t>CUST074</t>
  </si>
  <si>
    <t>ORD0172</t>
  </si>
  <si>
    <t>ORD0173</t>
  </si>
  <si>
    <t>CUST023</t>
  </si>
  <si>
    <t>ORD0174</t>
  </si>
  <si>
    <t>CUST051</t>
  </si>
  <si>
    <t>ORD0175</t>
  </si>
  <si>
    <t>ORD0176</t>
  </si>
  <si>
    <t>CUST093</t>
  </si>
  <si>
    <t>ORD0177</t>
  </si>
  <si>
    <t>ORD0178</t>
  </si>
  <si>
    <t>CUST118</t>
  </si>
  <si>
    <t>ORD0179</t>
  </si>
  <si>
    <t>ORD0180</t>
  </si>
  <si>
    <t>ORD0181</t>
  </si>
  <si>
    <t>ORD0182</t>
  </si>
  <si>
    <t>CUST022</t>
  </si>
  <si>
    <t>ORD0183</t>
  </si>
  <si>
    <t>ORD0184</t>
  </si>
  <si>
    <t>ORD0185</t>
  </si>
  <si>
    <t>ORD0186</t>
  </si>
  <si>
    <t>ORD0187</t>
  </si>
  <si>
    <t>ORD0188</t>
  </si>
  <si>
    <t>ORD0189</t>
  </si>
  <si>
    <t>ORD0190</t>
  </si>
  <si>
    <t>ORD0191</t>
  </si>
  <si>
    <t>ORD0192</t>
  </si>
  <si>
    <t>CUST068</t>
  </si>
  <si>
    <t>ORD0193</t>
  </si>
  <si>
    <t>ORD0194</t>
  </si>
  <si>
    <t>ORD0195</t>
  </si>
  <si>
    <t>ORD0196</t>
  </si>
  <si>
    <t>ORD0197</t>
  </si>
  <si>
    <t>ORD0198</t>
  </si>
  <si>
    <t>ORD0199</t>
  </si>
  <si>
    <t>ORD0200</t>
  </si>
  <si>
    <t>ORD0201</t>
  </si>
  <si>
    <t>ORD0202</t>
  </si>
  <si>
    <t>ORD0203</t>
  </si>
  <si>
    <t>CUST024</t>
  </si>
  <si>
    <t>ORD0204</t>
  </si>
  <si>
    <t>ORD0205</t>
  </si>
  <si>
    <t>ORD0206</t>
  </si>
  <si>
    <t>ORD0207</t>
  </si>
  <si>
    <t>ORD0208</t>
  </si>
  <si>
    <t>ORD0209</t>
  </si>
  <si>
    <t>ORD0210</t>
  </si>
  <si>
    <t>ORD0211</t>
  </si>
  <si>
    <t>ORD0212</t>
  </si>
  <si>
    <t>ORD0213</t>
  </si>
  <si>
    <t>ORD0214</t>
  </si>
  <si>
    <t>CUST040</t>
  </si>
  <si>
    <t>ORD0215</t>
  </si>
  <si>
    <t>ORD0216</t>
  </si>
  <si>
    <t>ORD0217</t>
  </si>
  <si>
    <t>ORD0218</t>
  </si>
  <si>
    <t>CUST078</t>
  </si>
  <si>
    <t>ORD0219</t>
  </si>
  <si>
    <t>ORD0220</t>
  </si>
  <si>
    <t>ORD0221</t>
  </si>
  <si>
    <t>CUST044</t>
  </si>
  <si>
    <t>ORD0222</t>
  </si>
  <si>
    <t>ORD0223</t>
  </si>
  <si>
    <t>ORD0224</t>
  </si>
  <si>
    <t>ORD0225</t>
  </si>
  <si>
    <t>ORD0226</t>
  </si>
  <si>
    <t>ORD0227</t>
  </si>
  <si>
    <t>ORD0228</t>
  </si>
  <si>
    <t>ORD0229</t>
  </si>
  <si>
    <t>ORD0230</t>
  </si>
  <si>
    <t>CUST039</t>
  </si>
  <si>
    <t>ORD0231</t>
  </si>
  <si>
    <t>ORD0232</t>
  </si>
  <si>
    <t>ORD0233</t>
  </si>
  <si>
    <t>ORD0234</t>
  </si>
  <si>
    <t>ORD0235</t>
  </si>
  <si>
    <t>ORD0236</t>
  </si>
  <si>
    <t>CUST070</t>
  </si>
  <si>
    <t>ORD0237</t>
  </si>
  <si>
    <t>ORD0238</t>
  </si>
  <si>
    <t>ORD0239</t>
  </si>
  <si>
    <t>CUST109</t>
  </si>
  <si>
    <t>ORD0240</t>
  </si>
  <si>
    <t>ORD0241</t>
  </si>
  <si>
    <t>CUST117</t>
  </si>
  <si>
    <t>ORD0242</t>
  </si>
  <si>
    <t>ORD0243</t>
  </si>
  <si>
    <t>ORD0244</t>
  </si>
  <si>
    <t>ORD0245</t>
  </si>
  <si>
    <t>CUST095</t>
  </si>
  <si>
    <t>ORD0246</t>
  </si>
  <si>
    <t>ORD0247</t>
  </si>
  <si>
    <t>ORD0248</t>
  </si>
  <si>
    <t>ORD0249</t>
  </si>
  <si>
    <t>ORD0250</t>
  </si>
  <si>
    <t>ORD0251</t>
  </si>
  <si>
    <t>ORD0252</t>
  </si>
  <si>
    <t>ORD0253</t>
  </si>
  <si>
    <t>ORD0254</t>
  </si>
  <si>
    <t>ORD0255</t>
  </si>
  <si>
    <t>ORD0256</t>
  </si>
  <si>
    <t>ORD0257</t>
  </si>
  <si>
    <t>ORD0258</t>
  </si>
  <si>
    <t>CUST004</t>
  </si>
  <si>
    <t>ORD0259</t>
  </si>
  <si>
    <t>ORD0260</t>
  </si>
  <si>
    <t>ORD0261</t>
  </si>
  <si>
    <t>ORD0262</t>
  </si>
  <si>
    <t>ORD0263</t>
  </si>
  <si>
    <t>ORD0264</t>
  </si>
  <si>
    <t>ORD0265</t>
  </si>
  <si>
    <t>ORD0266</t>
  </si>
  <si>
    <t>ORD0267</t>
  </si>
  <si>
    <t>ORD0268</t>
  </si>
  <si>
    <t>ORD0269</t>
  </si>
  <si>
    <t>CUST033</t>
  </si>
  <si>
    <t>ORD0270</t>
  </si>
  <si>
    <t>ORD0271</t>
  </si>
  <si>
    <t>ORD0272</t>
  </si>
  <si>
    <t>ORD0273</t>
  </si>
  <si>
    <t>ORD0274</t>
  </si>
  <si>
    <t>ORD0275</t>
  </si>
  <si>
    <t>ORD0276</t>
  </si>
  <si>
    <t>ORD0277</t>
  </si>
  <si>
    <t>CUST054</t>
  </si>
  <si>
    <t>ORD0278</t>
  </si>
  <si>
    <t>ORD0279</t>
  </si>
  <si>
    <t>ORD0280</t>
  </si>
  <si>
    <t>ORD0281</t>
  </si>
  <si>
    <t>CUST108</t>
  </si>
  <si>
    <t>ORD0282</t>
  </si>
  <si>
    <t>ORD0283</t>
  </si>
  <si>
    <t>CUST055</t>
  </si>
  <si>
    <t>ORD0284</t>
  </si>
  <si>
    <t>ORD0285</t>
  </si>
  <si>
    <t>CUST017</t>
  </si>
  <si>
    <t>ORD0286</t>
  </si>
  <si>
    <t>ORD0287</t>
  </si>
  <si>
    <t>ORD0288</t>
  </si>
  <si>
    <t>ORD0289</t>
  </si>
  <si>
    <t>ORD0290</t>
  </si>
  <si>
    <t>ORD0291</t>
  </si>
  <si>
    <t>ORD0292</t>
  </si>
  <si>
    <t>ORD0293</t>
  </si>
  <si>
    <t>CUST090</t>
  </si>
  <si>
    <t>ORD0294</t>
  </si>
  <si>
    <t>ORD0295</t>
  </si>
  <si>
    <t>ORD0296</t>
  </si>
  <si>
    <t>ORD0297</t>
  </si>
  <si>
    <t>ORD0298</t>
  </si>
  <si>
    <t>ORD0299</t>
  </si>
  <si>
    <t>ORD0300</t>
  </si>
  <si>
    <t>ORD0301</t>
  </si>
  <si>
    <t>ORD0302</t>
  </si>
  <si>
    <t>ORD0303</t>
  </si>
  <si>
    <t>ORD0304</t>
  </si>
  <si>
    <t>ORD0305</t>
  </si>
  <si>
    <t>ORD0306</t>
  </si>
  <si>
    <t>ORD0307</t>
  </si>
  <si>
    <t>ORD0308</t>
  </si>
  <si>
    <t>CUST013</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</si>
  <si>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</si>
  <si>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</si>
  <si>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</si>
  <si>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</si>
  <si>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</si>
  <si>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</si>
  <si>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</si>
  <si>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</si>
  <si>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</si>
  <si>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</si>
  <si>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</si>
  <si>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</si>
  <si>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</si>
  <si>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</si>
  <si>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</si>
  <si>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</si>
  <si>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</si>
  <si>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</si>
  <si>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</si>
  <si>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</si>
  <si>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</si>
  <si>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</si>
  <si>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</si>
  <si>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</si>
  <si>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</si>
  <si>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</si>
  <si>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</si>
  <si>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</si>
  <si>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</si>
  <si>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</si>
  <si>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</si>
  <si>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</si>
  <si>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</si>
  <si>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</si>
  <si>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</si>
  <si>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</si>
  <si>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</si>
  <si>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</si>
  <si>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</si>
  <si>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</si>
  <si>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</si>
  <si>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</si>
  <si>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</si>
  <si>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</si>
  <si>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</si>
  <si>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</si>
  <si>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CUST052</t>
  </si>
  <si>
    <t>ORD0355</t>
  </si>
  <si>
    <t>ORD0356</t>
  </si>
  <si>
    <t>ORD0357</t>
  </si>
  <si>
    <t>ORD0358</t>
  </si>
  <si>
    <t>ORD0359</t>
  </si>
  <si>
    <t>ORD0360</t>
  </si>
  <si>
    <t>ProductName</t>
  </si>
  <si>
    <t>Category</t>
  </si>
  <si>
    <t>UnitPrice</t>
  </si>
  <si>
    <t>Product_1</t>
  </si>
  <si>
    <t>Electronics</t>
  </si>
  <si>
    <t>Product_2</t>
  </si>
  <si>
    <t>Product_3</t>
  </si>
  <si>
    <t>Home</t>
  </si>
  <si>
    <t>Product_4</t>
  </si>
  <si>
    <t>Clothing</t>
  </si>
  <si>
    <t>Product_5</t>
  </si>
  <si>
    <t>Sports</t>
  </si>
  <si>
    <t>Product_6</t>
  </si>
  <si>
    <t>Product_7</t>
  </si>
  <si>
    <t>Beauty</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</si>
  <si>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</si>
  <si>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</si>
  <si>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</si>
  <si>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</si>
  <si>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</si>
  <si>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</si>
  <si>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</si>
  <si>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</si>
  <si>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</si>
  <si>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</si>
  <si>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</si>
  <si>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</si>
  <si>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</si>
  <si>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</si>
  <si>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</si>
  <si>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</si>
  <si>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</si>
  <si>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</si>
  <si>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</si>
  <si>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</si>
  <si>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</si>
  <si>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</si>
  <si>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</si>
  <si>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</si>
  <si>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</si>
  <si>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</si>
  <si>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</si>
  <si>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</si>
  <si>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</si>
  <si>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</si>
  <si>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</si>
  <si>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</si>
  <si>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</si>
  <si>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CustomerName</t>
  </si>
  <si>
    <t>Email</t>
  </si>
  <si>
    <t>Country</t>
  </si>
  <si>
    <t>SignupDate</t>
  </si>
  <si>
    <t>Customer_1</t>
  </si>
  <si>
    <t>customer1@email.com</t>
  </si>
  <si>
    <t>India</t>
  </si>
  <si>
    <t>Customer_2</t>
  </si>
  <si>
    <t>customer2@email.com</t>
  </si>
  <si>
    <t>Customer_3</t>
  </si>
  <si>
    <t>customer3@email.com</t>
  </si>
  <si>
    <t>United Kingdom</t>
  </si>
  <si>
    <t>Customer_4</t>
  </si>
  <si>
    <t>customer4@email.com</t>
  </si>
  <si>
    <t>Customer_5</t>
  </si>
  <si>
    <t>customer5@email.com</t>
  </si>
  <si>
    <t>Customer_6</t>
  </si>
  <si>
    <t>customer6@email.com</t>
  </si>
  <si>
    <t>CUST007</t>
  </si>
  <si>
    <t>Customer_7</t>
  </si>
  <si>
    <t>customer7@email.com</t>
  </si>
  <si>
    <t>United States</t>
  </si>
  <si>
    <t>Customer_8</t>
  </si>
  <si>
    <t>customer8@email.com</t>
  </si>
  <si>
    <t>Customer_9</t>
  </si>
  <si>
    <t>customer9@email.com</t>
  </si>
  <si>
    <t>Customer_10</t>
  </si>
  <si>
    <t>customer10@email.com</t>
  </si>
  <si>
    <t>Canada</t>
  </si>
  <si>
    <t>Customer_11</t>
  </si>
  <si>
    <t>customer11@email.com</t>
  </si>
  <si>
    <t>Customer_12</t>
  </si>
  <si>
    <t>customer12@email.com</t>
  </si>
  <si>
    <t>Customer_13</t>
  </si>
  <si>
    <t>customer13@email.com</t>
  </si>
  <si>
    <t>Customer_14</t>
  </si>
  <si>
    <t>customer14@email.com</t>
  </si>
  <si>
    <t>Customer_15</t>
  </si>
  <si>
    <t>customer15@email.com</t>
  </si>
  <si>
    <t>Customer_16</t>
  </si>
  <si>
    <t>customer16@email.com</t>
  </si>
  <si>
    <t>Customer_17</t>
  </si>
  <si>
    <t>customer17@email.com</t>
  </si>
  <si>
    <t>Customer_18</t>
  </si>
  <si>
    <t>customer18@email.com</t>
  </si>
  <si>
    <t>Customer_19</t>
  </si>
  <si>
    <t>customer19@email.com</t>
  </si>
  <si>
    <t>Customer_20</t>
  </si>
  <si>
    <t>customer20@email.com</t>
  </si>
  <si>
    <t>Customer_21</t>
  </si>
  <si>
    <t>customer21@email.com</t>
  </si>
  <si>
    <t>Customer_22</t>
  </si>
  <si>
    <t>customer22@email.com</t>
  </si>
  <si>
    <t>Customer_23</t>
  </si>
  <si>
    <t>customer23@email.com</t>
  </si>
  <si>
    <t>Customer_24</t>
  </si>
  <si>
    <t>customer24@email.com</t>
  </si>
  <si>
    <t>Customer_25</t>
  </si>
  <si>
    <t>customer25@email.com</t>
  </si>
  <si>
    <t>Customer_26</t>
  </si>
  <si>
    <t>customer26@email.com</t>
  </si>
  <si>
    <t>Customer_27</t>
  </si>
  <si>
    <t>customer27@email.com</t>
  </si>
  <si>
    <t>CUST028</t>
  </si>
  <si>
    <t>Customer_28</t>
  </si>
  <si>
    <t>customer28@email.com</t>
  </si>
  <si>
    <t>Customer_29</t>
  </si>
  <si>
    <t>customer29@email.com</t>
  </si>
  <si>
    <t>Customer_30</t>
  </si>
  <si>
    <t>customer30@email.com</t>
  </si>
  <si>
    <t>Customer_31</t>
  </si>
  <si>
    <t>customer31@email.com</t>
  </si>
  <si>
    <t>Customer_32</t>
  </si>
  <si>
    <t>customer32@email.com</t>
  </si>
  <si>
    <t>Customer_33</t>
  </si>
  <si>
    <t>customer33@email.com</t>
  </si>
  <si>
    <t>Customer_34</t>
  </si>
  <si>
    <t>customer34@email.com</t>
  </si>
  <si>
    <t>Customer_35</t>
  </si>
  <si>
    <t>customer35@email.com</t>
  </si>
  <si>
    <t>Customer_36</t>
  </si>
  <si>
    <t>customer36@email.com</t>
  </si>
  <si>
    <t>CUST037</t>
  </si>
  <si>
    <t>Customer_37</t>
  </si>
  <si>
    <t>customer37@email.com</t>
  </si>
  <si>
    <t>Customer_38</t>
  </si>
  <si>
    <t>customer38@email.com</t>
  </si>
  <si>
    <t>Customer_39</t>
  </si>
  <si>
    <t>customer39@email.com</t>
  </si>
  <si>
    <t>Customer_40</t>
  </si>
  <si>
    <t>customer40@email.com</t>
  </si>
  <si>
    <t>Customer_41</t>
  </si>
  <si>
    <t>customer41@email.com</t>
  </si>
  <si>
    <t>Customer_42</t>
  </si>
  <si>
    <t>customer42@email.com</t>
  </si>
  <si>
    <t>Customer_43</t>
  </si>
  <si>
    <t>customer43@email.com</t>
  </si>
  <si>
    <t>Customer_44</t>
  </si>
  <si>
    <t>customer44@email.com</t>
  </si>
  <si>
    <t>Customer_45</t>
  </si>
  <si>
    <t>customer45@email.com</t>
  </si>
  <si>
    <t>Customer_46</t>
  </si>
  <si>
    <t>customer46@email.com</t>
  </si>
  <si>
    <t>Customer_47</t>
  </si>
  <si>
    <t>customer47@email.com</t>
  </si>
  <si>
    <t>Customer_48</t>
  </si>
  <si>
    <t>customer48@email.com</t>
  </si>
  <si>
    <t>Customer_49</t>
  </si>
  <si>
    <t>customer49@email.com</t>
  </si>
  <si>
    <t>Customer_50</t>
  </si>
  <si>
    <t>customer50@email.com</t>
  </si>
  <si>
    <t>Customer_51</t>
  </si>
  <si>
    <t>customer51@email.com</t>
  </si>
  <si>
    <t>Customer_52</t>
  </si>
  <si>
    <t>customer52@email.com</t>
  </si>
  <si>
    <t>Customer_53</t>
  </si>
  <si>
    <t>customer53@email.com</t>
  </si>
  <si>
    <t>Customer_54</t>
  </si>
  <si>
    <t>customer54@email.com</t>
  </si>
  <si>
    <t>Customer_55</t>
  </si>
  <si>
    <t>customer55@email.com</t>
  </si>
  <si>
    <t>Customer_56</t>
  </si>
  <si>
    <t>customer56@email.com</t>
  </si>
  <si>
    <t>CUST057</t>
  </si>
  <si>
    <t>Customer_57</t>
  </si>
  <si>
    <t>customer57@email.com</t>
  </si>
  <si>
    <t>Customer_58</t>
  </si>
  <si>
    <t>customer58@email.com</t>
  </si>
  <si>
    <t>Customer_59</t>
  </si>
  <si>
    <t>customer59@email.com</t>
  </si>
  <si>
    <t>Customer_60</t>
  </si>
  <si>
    <t>customer60@email.com</t>
  </si>
  <si>
    <t>Customer_61</t>
  </si>
  <si>
    <t>customer61@email.com</t>
  </si>
  <si>
    <t>Customer_62</t>
  </si>
  <si>
    <t>customer62@email.com</t>
  </si>
  <si>
    <t>Customer_63</t>
  </si>
  <si>
    <t>customer63@email.com</t>
  </si>
  <si>
    <t>Customer_64</t>
  </si>
  <si>
    <t>customer64@email.com</t>
  </si>
  <si>
    <t>CUST065</t>
  </si>
  <si>
    <t>Customer_65</t>
  </si>
  <si>
    <t>customer65@email.com</t>
  </si>
  <si>
    <t>Customer_66</t>
  </si>
  <si>
    <t>customer66@email.com</t>
  </si>
  <si>
    <t>Customer_67</t>
  </si>
  <si>
    <t>customer67@email.com</t>
  </si>
  <si>
    <t>Customer_68</t>
  </si>
  <si>
    <t>customer68@email.com</t>
  </si>
  <si>
    <t>Customer_69</t>
  </si>
  <si>
    <t>customer69@email.com</t>
  </si>
  <si>
    <t>Customer_70</t>
  </si>
  <si>
    <t>customer70@email.com</t>
  </si>
  <si>
    <t>Customer_71</t>
  </si>
  <si>
    <t>customer71@email.com</t>
  </si>
  <si>
    <t>Customer_72</t>
  </si>
  <si>
    <t>customer72@email.com</t>
  </si>
  <si>
    <t>Customer_73</t>
  </si>
  <si>
    <t>customer73@email.com</t>
  </si>
  <si>
    <t>Customer_74</t>
  </si>
  <si>
    <t>customer74@email.com</t>
  </si>
  <si>
    <t>Customer_75</t>
  </si>
  <si>
    <t>customer75@email.com</t>
  </si>
  <si>
    <t>Customer_76</t>
  </si>
  <si>
    <t>customer76@email.com</t>
  </si>
  <si>
    <t>Customer_77</t>
  </si>
  <si>
    <t>customer77@email.com</t>
  </si>
  <si>
    <t>Customer_78</t>
  </si>
  <si>
    <t>customer78@email.com</t>
  </si>
  <si>
    <t>Customer_79</t>
  </si>
  <si>
    <t>customer79@email.com</t>
  </si>
  <si>
    <t>Customer_80</t>
  </si>
  <si>
    <t>customer80@email.com</t>
  </si>
  <si>
    <t>Customer_81</t>
  </si>
  <si>
    <t>customer81@email.com</t>
  </si>
  <si>
    <t>Customer_82</t>
  </si>
  <si>
    <t>customer82@email.com</t>
  </si>
  <si>
    <t>Customer_83</t>
  </si>
  <si>
    <t>customer83@email.com</t>
  </si>
  <si>
    <t>Customer_84</t>
  </si>
  <si>
    <t>customer84@email.com</t>
  </si>
  <si>
    <t>Customer_85</t>
  </si>
  <si>
    <t>customer85@email.com</t>
  </si>
  <si>
    <t>Customer_86</t>
  </si>
  <si>
    <t>customer86@email.com</t>
  </si>
  <si>
    <t>Customer_87</t>
  </si>
  <si>
    <t>customer87@email.com</t>
  </si>
  <si>
    <t>Customer_88</t>
  </si>
  <si>
    <t>customer88@email.com</t>
  </si>
  <si>
    <t>Customer_89</t>
  </si>
  <si>
    <t>customer89@email.com</t>
  </si>
  <si>
    <t>Customer_90</t>
  </si>
  <si>
    <t>customer90@email.com</t>
  </si>
  <si>
    <t>Customer_91</t>
  </si>
  <si>
    <t>customer91@email.com</t>
  </si>
  <si>
    <t>Customer_92</t>
  </si>
  <si>
    <t>customer92@email.com</t>
  </si>
  <si>
    <t>Customer_93</t>
  </si>
  <si>
    <t>customer93@email.com</t>
  </si>
  <si>
    <t>Customer_94</t>
  </si>
  <si>
    <t>customer94@email.com</t>
  </si>
  <si>
    <t>Customer_95</t>
  </si>
  <si>
    <t>customer95@email.com</t>
  </si>
  <si>
    <t>Customer_96</t>
  </si>
  <si>
    <t>customer96@email.com</t>
  </si>
  <si>
    <t>Customer_97</t>
  </si>
  <si>
    <t>customer97@email.com</t>
  </si>
  <si>
    <t>Customer_98</t>
  </si>
  <si>
    <t>customer98@email.com</t>
  </si>
  <si>
    <t>Customer_99</t>
  </si>
  <si>
    <t>customer99@email.com</t>
  </si>
  <si>
    <t>Customer_100</t>
  </si>
  <si>
    <t>customer100@email.com</t>
  </si>
  <si>
    <t>Customer_101</t>
  </si>
  <si>
    <t>customer101@email.com</t>
  </si>
  <si>
    <t>Customer_102</t>
  </si>
  <si>
    <t>customer102@email.com</t>
  </si>
  <si>
    <t>Customer_103</t>
  </si>
  <si>
    <t>customer103@email.com</t>
  </si>
  <si>
    <t>Customer_104</t>
  </si>
  <si>
    <t>customer104@email.com</t>
  </si>
  <si>
    <t>Customer_105</t>
  </si>
  <si>
    <t>customer105@email.com</t>
  </si>
  <si>
    <t>Customer_106</t>
  </si>
  <si>
    <t>customer106@email.com</t>
  </si>
  <si>
    <t>Customer_107</t>
  </si>
  <si>
    <t>customer107@email.com</t>
  </si>
  <si>
    <t>Customer_108</t>
  </si>
  <si>
    <t>customer108@email.com</t>
  </si>
  <si>
    <t>Customer_109</t>
  </si>
  <si>
    <t>customer109@email.com</t>
  </si>
  <si>
    <t>Customer_110</t>
  </si>
  <si>
    <t>customer110@email.com</t>
  </si>
  <si>
    <t>Customer_111</t>
  </si>
  <si>
    <t>customer111@email.com</t>
  </si>
  <si>
    <t>Customer_112</t>
  </si>
  <si>
    <t>customer112@email.com</t>
  </si>
  <si>
    <t>Customer_113</t>
  </si>
  <si>
    <t>customer113@email.com</t>
  </si>
  <si>
    <t>Customer_114</t>
  </si>
  <si>
    <t>customer114@email.com</t>
  </si>
  <si>
    <t>Customer_115</t>
  </si>
  <si>
    <t>customer115@email.com</t>
  </si>
  <si>
    <t>Customer_116</t>
  </si>
  <si>
    <t>customer116@email.com</t>
  </si>
  <si>
    <t>Customer_117</t>
  </si>
  <si>
    <t>customer117@email.com</t>
  </si>
  <si>
    <t>Customer_118</t>
  </si>
  <si>
    <t>customer118@email.com</t>
  </si>
  <si>
    <t>Customer_119</t>
  </si>
  <si>
    <t>customer119@email.com</t>
  </si>
  <si>
    <t>Customer_120</t>
  </si>
  <si>
    <t>customer120@email.com</t>
  </si>
  <si>
    <t>Revenue</t>
  </si>
  <si>
    <t>Sum of Revenue</t>
  </si>
  <si>
    <t>Grand Total</t>
  </si>
  <si>
    <t>Order</t>
  </si>
  <si>
    <t>Jan</t>
  </si>
  <si>
    <t>Feb</t>
  </si>
  <si>
    <t>Mar</t>
  </si>
  <si>
    <t>Apr</t>
  </si>
  <si>
    <t>May</t>
  </si>
  <si>
    <t>Jun</t>
  </si>
  <si>
    <t>Sum of SalesAmount</t>
  </si>
  <si>
    <t>Sum of Quantity</t>
  </si>
  <si>
    <t>1. The product category with the highest revenue is Electronics</t>
  </si>
  <si>
    <t>2. Product_24 is performing best while product_8 is performing worst</t>
  </si>
  <si>
    <t>4. The month of March has a notable trend</t>
  </si>
  <si>
    <t>3. United Kingdom contributed most to sales</t>
  </si>
  <si>
    <t>5. Run promotions or loyalty programs tailored to UK customers. Review product_8's pricing or promotion strategy. Capitalize on March sales trend for electronics</t>
  </si>
  <si>
    <t>Bildad Yohanna</t>
  </si>
  <si>
    <t xml:space="preserve"> DA/2025/TC5/141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</si>
</sst>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numFmt numFmtId="165" formatCode="&quot;$&quot;#,##0.00"/>
  </numFmts>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14" fontId="0" fillId="0" borderId="0" xfId="0" applyNumberFormat="1"/>
    <xf numFmtId="0" fontId="0" fillId="0" borderId="0" xfId="0" applyNumberFormat="1" applyAlignment="1">
      <alignment horizontal="center"/>
    </xf>
    <xf numFmtId="0" fontId="0" fillId="0" borderId="0" xfId="0" applyNumberFormat="1"/>
    <xf numFmtId="0" fontId="0" fillId="0" borderId="0" xfId="0" pivotButton="1"/>
    <xf numFmtId="0" fontId="0" fillId="0" borderId="0" xfId="0" applyAlignment="1">
      <alignment horizontal="left"/>
    </xf>
    <xf numFmtId="165" fontId="1" fillId="0" borderId="1" xfId="0" applyNumberFormat="1" applyFont="1" applyBorder="1" applyAlignment="1">
      <alignment horizontal="center" vertical="top"/>
    </xf>
    <xf numFmtId="165" fontId="0" fillId="0" borderId="0" xfId="0" applyNumberFormat="1" applyAlignment="1">
      <alignment horizontal="center"/>
    </xf>
    <xf numFmtId="165" fontId="0" fillId="0" borderId="0" xfId="0" applyNumberFormat="1"/>
    <xf numFmtId="44" fontId="1" fillId="0" borderId="1" xfId="0" applyNumberFormat="1" applyFont="1" applyBorder="1" applyAlignment="1">
      <alignment horizontal="center" vertical="top"/>
    </xf>
    <xf numFmtId="44" fontId="0" fillId="0" borderId="0" xfId="0" applyNumberFormat="1" applyAlignment="1">
      <alignment horizontal="center"/>
    </xf>
    <xf numFmtId="44" fontId="0" fillId="0" borderId="0" xfId="0" applyNumberFormat="1"/>
  </cellXfs>
  <cellStyles count="1">
    <cellStyle name="Normal" xfId="0" builtinId="0"/>
  </cellStyles>
  <dxfs count="41">
    <dxf>
      <numFmt numFmtId="164" formatCode="yyyy\-mm\-dd"/>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4" formatCode="_(&quot;$&quot;* #,##0.00_);_(&quot;$&quot;* \(#,##0.00\);_(&quot;$&quot;* &quot;-&quot;??_);_(@_)"/>
      <alignment horizontal="center" vertical="bottom" textRotation="0" wrapText="0" indent="0" justifyLastLine="0" shrinkToFit="0" readingOrder="0"/>
    </dxf>
    <dxf>
      <numFmt numFmtId="34" formatCode="_(&quot;$&quot;* #,##0.00_);_(&quot;$&quot;* \(#,##0.00\);_(&quot;$&quot;* &quot;-&quot;??_);_(@_)"/>
      <alignment horizont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textRotation="0" wrapText="0" indent="0" justifyLastLine="0" shrinkToFit="0" readingOrder="0"/>
    </dxf>
    <dxf>
      <numFmt numFmtId="165" formatCode="&quot;$&quot;#,##0.00"/>
      <alignment horizontal="center" vertical="bottom" textRotation="0" wrapText="0" indent="0" justifyLastLine="0" shrinkToFit="0" readingOrder="0"/>
    </dxf>
    <dxf>
      <numFmt numFmtId="165" formatCode="&quot;$&quot;#,##0.00"/>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numFmt numFmtId="164" formatCode="yyyy\-mm\-dd"/>
      <alignment horizontal="center" vertical="bottom" textRotation="0" wrapText="0" indent="0" justifyLastLine="0" shrinkToFit="0" readingOrder="0"/>
    </dxf>
    <dxf>
      <numFmt numFmtId="164" formatCode="yyyy\-mm\-dd"/>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[Ecommerce_Analytics_Practice_Dataset.xlsx]Pivottable!PivotTable1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716719914802987E-2"/>
          <c:y val="0.26419161676646713"/>
          <c:w val="0.90628328008519698"/>
          <c:h val="0.51929526773225199"/>
        </c:manualLayout>
      </c:layout>
      <c:barChart>
        <c:barDir val="col"/>
        <c:grouping val="clustered"/>
        <c:varyColors val="0"/>
        <c:ser>
          <c:idx val="0"/>
          <c:order val="0"/>
          <c:tx>
            <c:strRef>
              <c:f>Pivottable!$B$3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Pivottable!$A$4:$A$9</c:f>
              <c:strCache>
                <c:ptCount val="5"/>
                <c:pt idx="0">
                  <c:v>Beauty</c:v>
                </c:pt>
                <c:pt idx="1">
                  <c:v>Clothing</c:v>
                </c:pt>
                <c:pt idx="2">
                  <c:v>Electronics</c:v>
                </c:pt>
                <c:pt idx="3">
                  <c:v>Home</c:v>
                </c:pt>
                <c:pt idx="4">
                  <c:v>Sports</c:v>
                </c:pt>
              </c:strCache>
            </c:strRef>
          </c:cat>
          <c:val>
            <c:numRef>
              <c:f>Pivottable!$B$4:$B$9</c:f>
              <c:numCache>
                <c:formatCode>General</c:formatCode>
                <c:ptCount val="5"/>
                <c:pt idx="0">
                  <c:v>49960.629999999976</c:v>
                </c:pt>
                <c:pt idx="1">
                  <c:v>37792.22</c:v>
                </c:pt>
                <c:pt idx="2">
                  <c:v>74267.189999999973</c:v>
                </c:pt>
                <c:pt idx="3">
                  <c:v>42451.150000000009</c:v>
                </c:pt>
                <c:pt idx="4">
                  <c:v>44843.459999999977</c:v>
                </c:pt>
              </c:numCache>
            </c:numRef>
          </c:val>
          <c:extLst>
            <c:ext xmlns:c16="http://schemas.microsoft.com/office/drawing/2014/chart" uri="{C3380CC4-5D6E-409C-BE32-E72D297353CC}">
              <c16:uniqueId val="{00000000-B408-4719-B0F7-97F2CF71968E}"/>
            </c:ext>
          </c:extLst>
        </c:ser>
        <c:dLbls>
          <c:showLegendKey val="0"/>
          <c:showVal val="0"/>
          <c:showCatName val="0"/>
          <c:showSerName val="0"/>
          <c:showPercent val="0"/>
          <c:showBubbleSize val="0"/>
        </c:dLbls>
        <c:gapWidth val="219"/>
        <c:overlap val="-27"/>
        <c:axId val="1054425392"/>
        <c:axId val="1054422512"/>
      </c:barChart>
      <c:catAx>
        <c:axId val="105442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422512"/>
        <c:crosses val="autoZero"/>
        <c:auto val="1"/>
        <c:lblAlgn val="ctr"/>
        <c:lblOffset val="100"/>
        <c:noMultiLvlLbl val="0"/>
      </c:catAx>
      <c:valAx>
        <c:axId val="1054422512"/>
        <c:scaling>
          <c:orientation val="minMax"/>
        </c:scaling>
        <c:delete val="1"/>
        <c:axPos val="l"/>
        <c:numFmt formatCode="General" sourceLinked="1"/>
        <c:majorTickMark val="none"/>
        <c:minorTickMark val="none"/>
        <c:tickLblPos val="nextTo"/>
        <c:crossAx val="1054425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[Ecommerce_Analytics_Practice_Dataset.xlsx]Pivottable!PivotTable2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Pivottable!$D$4:$D$8</c:f>
              <c:strCache>
                <c:ptCount val="4"/>
                <c:pt idx="0">
                  <c:v>Canada</c:v>
                </c:pt>
                <c:pt idx="1">
                  <c:v>India</c:v>
                </c:pt>
                <c:pt idx="2">
                  <c:v>United Kingdom</c:v>
                </c:pt>
                <c:pt idx="3">
                  <c:v>United States</c:v>
                </c:pt>
              </c:strCache>
            </c:strRef>
          </c:cat>
          <c:val>
            <c:numRef>
              <c:f>Pivottable!$E$4:$E$8</c:f>
              <c:numCache>
                <c:formatCode>General</c:formatCode>
                <c:ptCount val="4"/>
                <c:pt idx="0">
                  <c:v>57774.679999999978</c:v>
                </c:pt>
                <c:pt idx="1">
                  <c:v>51405.479999999996</c:v>
                </c:pt>
                <c:pt idx="2">
                  <c:v>86879.589999999982</c:v>
                </c:pt>
                <c:pt idx="3">
                  <c:v>53254.900000000009</c:v>
                </c:pt>
              </c:numCache>
            </c:numRef>
          </c:val>
          <c:extLst>
            <c:ext xmlns:c16="http://schemas.microsoft.com/office/drawing/2014/chart" uri="{C3380CC4-5D6E-409C-BE32-E72D297353CC}">
              <c16:uniqueId val="{00000000-7583-403C-8E92-3434F88A8067}"/>
            </c:ext>
          </c:extLst>
        </c:ser>
        <c:dLbls>
          <c:showLegendKey val="0"/>
          <c:showVal val="0"/>
          <c:showCatName val="0"/>
          <c:showSerName val="0"/>
          <c:showPercent val="0"/>
          <c:showBubbleSize val="0"/>
        </c:dLbls>
        <c:gapWidth val="182"/>
        <c:axId val="1054424432"/>
        <c:axId val="272243648"/>
      </c:barChart>
      <c:catAx>
        <c:axId val="105442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43648"/>
        <c:crosses val="autoZero"/>
        <c:auto val="1"/>
        <c:lblAlgn val="ctr"/>
        <c:lblOffset val="100"/>
        <c:noMultiLvlLbl val="0"/>
      </c:catAx>
      <c:valAx>
        <c:axId val="272243648"/>
        <c:scaling>
          <c:orientation val="minMax"/>
        </c:scaling>
        <c:delete val="1"/>
        <c:axPos val="b"/>
        <c:numFmt formatCode="General" sourceLinked="1"/>
        <c:majorTickMark val="none"/>
        <c:minorTickMark val="none"/>
        <c:tickLblPos val="nextTo"/>
        <c:crossAx val="1054424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[Ecommerce_Analytics_Practice_Dataset.xlsx]Pivottable!PivotTable4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800995024875621E-2"/>
          <c:y val="0.26261904761904764"/>
          <c:w val="0.91243781094527365"/>
          <c:h val="0.52215660542432196"/>
        </c:manualLayout>
      </c:layout>
      <c:lineChart>
        <c:grouping val="standard"/>
        <c:varyColors val="0"/>
        <c:ser>
          <c:idx val="0"/>
          <c:order val="0"/>
          <c:tx>
            <c:strRef>
              <c:f>Pivottable!$B$12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Pivottable!$A$13:$A$19</c:f>
              <c:strCache>
                <c:ptCount val="6"/>
                <c:pt idx="0">
                  <c:v>Jan</c:v>
                </c:pt>
                <c:pt idx="1">
                  <c:v>Feb</c:v>
                </c:pt>
                <c:pt idx="2">
                  <c:v>Mar</c:v>
                </c:pt>
                <c:pt idx="3">
                  <c:v>Apr</c:v>
                </c:pt>
                <c:pt idx="4">
                  <c:v>May</c:v>
                </c:pt>
                <c:pt idx="5">
                  <c:v>Jun</c:v>
                </c:pt>
              </c:strCache>
            </c:strRef>
          </c:cat>
          <c:val>
            <c:numRef>
              <c:f>Pivottable!$B$13:$B$19</c:f>
              <c:numCache>
                <c:formatCode>General</c:formatCode>
                <c:ptCount val="6"/>
                <c:pt idx="0">
                  <c:v>38121.719999999994</c:v>
                </c:pt>
                <c:pt idx="1">
                  <c:v>36272.57</c:v>
                </c:pt>
                <c:pt idx="2">
                  <c:v>52091.569999999963</c:v>
                </c:pt>
                <c:pt idx="3">
                  <c:v>37290.869999999995</c:v>
                </c:pt>
                <c:pt idx="4">
                  <c:v>33711.56</c:v>
                </c:pt>
                <c:pt idx="5">
                  <c:v>51826.359999999993</c:v>
                </c:pt>
              </c:numCache>
            </c:numRef>
          </c:val>
          <c:smooth val="0"/>
          <c:extLst>
            <c:ext xmlns:c16="http://schemas.microsoft.com/office/drawing/2014/chart" uri="{C3380CC4-5D6E-409C-BE32-E72D297353CC}">
              <c16:uniqueId val="{00000000-B988-4704-A4EC-471DFE1B3677}"/>
            </c:ext>
          </c:extLst>
        </c:ser>
        <c:dLbls>
          <c:showLegendKey val="0"/>
          <c:showVal val="0"/>
          <c:showCatName val="0"/>
          <c:showSerName val="0"/>
          <c:showPercent val="0"/>
          <c:showBubbleSize val="0"/>
        </c:dLbls>
        <c:smooth val="0"/>
        <c:axId val="273495168"/>
        <c:axId val="273498048"/>
      </c:lineChart>
      <c:catAx>
        <c:axId val="27349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498048"/>
        <c:crosses val="autoZero"/>
        <c:auto val="1"/>
        <c:lblAlgn val="ctr"/>
        <c:lblOffset val="100"/>
        <c:noMultiLvlLbl val="0"/>
      </c:catAx>
      <c:valAx>
        <c:axId val="273498048"/>
        <c:scaling>
          <c:orientation val="minMax"/>
        </c:scaling>
        <c:delete val="1"/>
        <c:axPos val="l"/>
        <c:numFmt formatCode="General" sourceLinked="1"/>
        <c:majorTickMark val="none"/>
        <c:minorTickMark val="none"/>
        <c:tickLblPos val="nextTo"/>
        <c:crossAx val="273495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[Ecommerce_Analytics_Practice_Dataset.xlsx]Pivottable!PivotTable5</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Products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Pivottable!$E$12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AF92-408D-9A1F-00BD1848E2E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F92-408D-9A1F-00BD1848E2E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AF92-408D-9A1F-00BD1848E2E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AF92-408D-9A1F-00BD1848E2E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AF92-408D-9A1F-00BD1848E2E5}"/>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Pivottable!$D$13:$D$18</c:f>
              <c:strCache>
                <c:ptCount val="5"/>
                <c:pt idx="0">
                  <c:v>Product_10</c:v>
                </c:pt>
                <c:pt idx="1">
                  <c:v>Product_13</c:v>
                </c:pt>
                <c:pt idx="2">
                  <c:v>Product_24</c:v>
                </c:pt>
                <c:pt idx="3">
                  <c:v>Product_3</c:v>
                </c:pt>
                <c:pt idx="4">
                  <c:v>Product_8</c:v>
                </c:pt>
              </c:strCache>
            </c:strRef>
          </c:cat>
          <c:val>
            <c:numRef>
              <c:f>Pivottable!$E$13:$E$18</c:f>
              <c:numCache>
                <c:formatCode>General</c:formatCode>
                <c:ptCount val="5"/>
                <c:pt idx="0">
                  <c:v>14731.52</c:v>
                </c:pt>
                <c:pt idx="1">
                  <c:v>14482.44</c:v>
                </c:pt>
                <c:pt idx="2">
                  <c:v>19444.599999999999</c:v>
                </c:pt>
                <c:pt idx="3">
                  <c:v>12836.4</c:v>
                </c:pt>
                <c:pt idx="4">
                  <c:v>11651.5</c:v>
                </c:pt>
              </c:numCache>
            </c:numRef>
          </c:val>
          <c:extLst>
            <c:ext xmlns:c16="http://schemas.microsoft.com/office/drawing/2014/chart" uri="{C3380CC4-5D6E-409C-BE32-E72D297353CC}">
              <c16:uniqueId val="{0000000A-AF92-408D-9A1F-00BD1848E2E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[Ecommerce_Analytics_Practice_Dataset.xlsx]Pivottable!PivotTable6</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27789708104669"/>
          <c:y val="4.6425723883113661E-2"/>
          <c:w val="0.58438604549431317"/>
          <c:h val="0.89814814814814814"/>
        </c:manualLayout>
      </c:layout>
      <c:barChart>
        <c:barDir val="col"/>
        <c:grouping val="clustered"/>
        <c:varyColors val="0"/>
        <c:ser>
          <c:idx val="0"/>
          <c:order val="0"/>
          <c:tx>
            <c:strRef>
              <c:f>Pivottable!$G$12</c:f>
              <c:strCache>
                <c:ptCount val="1"/>
                <c:pt idx="0">
                  <c:v>Sum of SalesAmount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Pivottable!$G$13</c:f>
              <c:strCache>
                <c:ptCount val="1"/>
                <c:pt idx="0">
                  <c:v>Total</c:v>
                </c:pt>
              </c:strCache>
            </c:strRef>
          </c:cat>
          <c:val>
            <c:numRef>
              <c:f>Pivottable!$G$13</c:f>
              <c:numCache>
                <c:formatCode>General</c:formatCode>
                <c:ptCount val="1"/>
                <c:pt idx="0">
                  <c:v>249314.65</c:v>
                </c:pt>
              </c:numCache>
            </c:numRef>
          </c:val>
          <c:extLst>
            <c:ext xmlns:c16="http://schemas.microsoft.com/office/drawing/2014/chart" uri="{C3380CC4-5D6E-409C-BE32-E72D297353CC}">
              <c16:uniqueId val="{00000000-EA4C-4441-BF68-3398E4C1C80D}"/>
            </c:ext>
          </c:extLst>
        </c:ser>
        <c:ser>
          <c:idx val="1"/>
          <c:order val="1"/>
          <c:tx>
            <c:strRef>
              <c:f>Pivottable!$H$12</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Pivottable!$G$13</c:f>
              <c:strCache>
                <c:ptCount val="1"/>
                <c:pt idx="0">
                  <c:v>Total</c:v>
                </c:pt>
              </c:strCache>
            </c:strRef>
          </c:cat>
          <c:val>
            <c:numRef>
              <c:f>Pivottable!$H$13</c:f>
              <c:numCache>
                <c:formatCode>General</c:formatCode>
                <c:ptCount val="1"/>
                <c:pt idx="0">
                  <c:v>1080</c:v>
                </c:pt>
              </c:numCache>
            </c:numRef>
          </c:val>
          <c:extLst>
            <c:ext xmlns:c16="http://schemas.microsoft.com/office/drawing/2014/chart" uri="{C3380CC4-5D6E-409C-BE32-E72D297353CC}">
              <c16:uniqueId val="{00000001-EA4C-4441-BF68-3398E4C1C80D}"/>
            </c:ext>
          </c:extLst>
        </c:ser>
        <c:dLbls>
          <c:showLegendKey val="0"/>
          <c:showVal val="0"/>
          <c:showCatName val="0"/>
          <c:showSerName val="0"/>
          <c:showPercent val="0"/>
          <c:showBubbleSize val="0"/>
        </c:dLbls>
        <c:gapWidth val="219"/>
        <c:overlap val="-27"/>
        <c:axId val="1631729184"/>
        <c:axId val="1631730624"/>
      </c:barChart>
      <c:catAx>
        <c:axId val="1631729184"/>
        <c:scaling>
          <c:orientation val="minMax"/>
        </c:scaling>
        <c:delete val="1"/>
        <c:axPos val="b"/>
        <c:numFmt formatCode="General" sourceLinked="1"/>
        <c:majorTickMark val="none"/>
        <c:minorTickMark val="none"/>
        <c:tickLblPos val="nextTo"/>
        <c:crossAx val="1631730624"/>
        <c:crosses val="autoZero"/>
        <c:auto val="1"/>
        <c:lblAlgn val="ctr"/>
        <c:lblOffset val="100"/>
        <c:noMultiLvlLbl val="0"/>
      </c:catAx>
      <c:valAx>
        <c:axId val="1631730624"/>
        <c:scaling>
          <c:orientation val="minMax"/>
        </c:scaling>
        <c:delete val="1"/>
        <c:axPos val="l"/>
        <c:numFmt formatCode="General" sourceLinked="1"/>
        <c:majorTickMark val="none"/>
        <c:minorTickMark val="none"/>
        <c:tickLblPos val="nextTo"/>
        <c:crossAx val="163172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2</xdr:row>
      <xdr:rowOff>104775</xdr:rowOff>
    </xdr:from>
    <xdr:to>
      <xdr:col>4</xdr:col>
      <xdr:colOff>561975</xdr:colOff>
      <xdr:row>10</xdr:row>
      <xdr:rowOff>171450</xdr:rowOff>
    </xdr:to>
    <xdr:graphicFrame macro="">
      <xdr:nvGraphicFramePr>
        <xdr:cNvPr id="2" name="Chart 1">
          <a:extLst>
            <a:ext uri="{FF2B5EF4-FFF2-40B4-BE49-F238E27FC236}">
              <a16:creationId xmlns:a16="http://schemas.microsoft.com/office/drawing/2014/main" id="{C1EB561C-9D2C-4CBE-8569-5308A3823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600076</xdr:colOff>
      <xdr:row>2</xdr:row>
      <xdr:rowOff>95250</xdr:rowOff>
    </xdr:from>
    <xdr:to>
      <xdr:col>10</xdr:col>
      <xdr:colOff>47625</xdr:colOff>
      <xdr:row>10</xdr:row>
      <xdr:rowOff>161925</xdr:rowOff>
    </xdr:to>
    <xdr:graphicFrame macro="">
      <xdr:nvGraphicFramePr>
        <xdr:cNvPr id="3" name="Chart 2">
          <a:extLst>
            <a:ext uri="{FF2B5EF4-FFF2-40B4-BE49-F238E27FC236}">
              <a16:creationId xmlns:a16="http://schemas.microsoft.com/office/drawing/2014/main" id="{E5BCCD12-2F49-42B1-B8D5-D0922A7E3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76200</xdr:colOff>
      <xdr:row>2</xdr:row>
      <xdr:rowOff>85725</xdr:rowOff>
    </xdr:from>
    <xdr:to>
      <xdr:col>15</xdr:col>
      <xdr:colOff>161925</xdr:colOff>
      <xdr:row>10</xdr:row>
      <xdr:rowOff>161925</xdr:rowOff>
    </xdr:to>
    <xdr:graphicFrame macro="">
      <xdr:nvGraphicFramePr>
        <xdr:cNvPr id="4" name="Chart 3">
          <a:extLst>
            <a:ext uri="{FF2B5EF4-FFF2-40B4-BE49-F238E27FC236}">
              <a16:creationId xmlns:a16="http://schemas.microsoft.com/office/drawing/2014/main" id="{606BE001-89F4-4E46-BF88-9B68F3706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19051</xdr:colOff>
      <xdr:row>11</xdr:row>
      <xdr:rowOff>38101</xdr:rowOff>
    </xdr:from>
    <xdr:to>
      <xdr:col>4</xdr:col>
      <xdr:colOff>571501</xdr:colOff>
      <xdr:row>20</xdr:row>
      <xdr:rowOff>57151</xdr:rowOff>
    </xdr:to>
    <xdr:graphicFrame macro="">
      <xdr:nvGraphicFramePr>
        <xdr:cNvPr id="5" name="Chart 4">
          <a:extLst>
            <a:ext uri="{FF2B5EF4-FFF2-40B4-BE49-F238E27FC236}">
              <a16:creationId xmlns:a16="http://schemas.microsoft.com/office/drawing/2014/main" id="{CEFD6B11-CCCA-4327-B831-6352470E0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9525</xdr:colOff>
      <xdr:row>11</xdr:row>
      <xdr:rowOff>28575</xdr:rowOff>
    </xdr:from>
    <xdr:to>
      <xdr:col>10</xdr:col>
      <xdr:colOff>47625</xdr:colOff>
      <xdr:row>20</xdr:row>
      <xdr:rowOff>57150</xdr:rowOff>
    </xdr:to>
    <xdr:graphicFrame macro="">
      <xdr:nvGraphicFramePr>
        <xdr:cNvPr id="6" name="Chart 5">
          <a:extLst>
            <a:ext uri="{FF2B5EF4-FFF2-40B4-BE49-F238E27FC236}">
              <a16:creationId xmlns:a16="http://schemas.microsoft.com/office/drawing/2014/main" id="{8017CDE5-23B4-43EA-AA31-891EAC0CD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95250</xdr:colOff>
      <xdr:row>11</xdr:row>
      <xdr:rowOff>38101</xdr:rowOff>
    </xdr:from>
    <xdr:to>
      <xdr:col>12</xdr:col>
      <xdr:colOff>600075</xdr:colOff>
      <xdr:row>20</xdr:row>
      <xdr:rowOff>38101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495B4D4A-7C4D-3924-DB21-FC5DB71B3C4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191250" y="2133601"/>
              <a:ext cx="1724025"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9526</xdr:colOff>
      <xdr:row>11</xdr:row>
      <xdr:rowOff>38100</xdr:rowOff>
    </xdr:from>
    <xdr:to>
      <xdr:col>15</xdr:col>
      <xdr:colOff>352426</xdr:colOff>
      <xdr:row>20</xdr:row>
      <xdr:rowOff>57150</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E72CAD1F-ED91-AAD2-B865-5C8D37C10FA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934326" y="2133600"/>
              <a:ext cx="156210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57150</xdr:colOff>
      <xdr:row>1</xdr:row>
      <xdr:rowOff>85725</xdr:rowOff>
    </xdr:from>
    <xdr:ext cx="184731" cy="264560"/>
    <xdr:sp macro="" textlink="">
      <xdr:nvSpPr>
        <xdr:cNvPr id="11" name="TextBox 10">
          <a:extLst>
            <a:ext uri="{FF2B5EF4-FFF2-40B4-BE49-F238E27FC236}">
              <a16:creationId xmlns:a16="http://schemas.microsoft.com/office/drawing/2014/main" id="{E226B4A1-DBA0-A6AE-08AD-E152B6B52E0E}"/>
            </a:ext>
          </a:extLst>
        </xdr:cNvPr>
        <xdr:cNvSpPr txBox="1"/>
      </xdr:nvSpPr>
      <xdr:spPr>
        <a:xfrm>
          <a:off x="1885950" y="276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561975</xdr:colOff>
      <xdr:row>0</xdr:row>
      <xdr:rowOff>85725</xdr:rowOff>
    </xdr:from>
    <xdr:to>
      <xdr:col>10</xdr:col>
      <xdr:colOff>47625</xdr:colOff>
      <xdr:row>1</xdr:row>
      <xdr:rowOff>171450</xdr:rowOff>
    </xdr:to>
    <xdr:sp macro="" textlink="">
      <xdr:nvSpPr>
        <xdr:cNvPr id="12" name="TextBox 11">
          <a:extLst>
            <a:ext uri="{FF2B5EF4-FFF2-40B4-BE49-F238E27FC236}">
              <a16:creationId xmlns:a16="http://schemas.microsoft.com/office/drawing/2014/main" id="{F503DCD4-942D-C952-0866-5FF8ECDB773D}"/>
            </a:ext>
          </a:extLst>
        </xdr:cNvPr>
        <xdr:cNvSpPr txBox="1"/>
      </xdr:nvSpPr>
      <xdr:spPr>
        <a:xfrm>
          <a:off x="3000375" y="85725"/>
          <a:ext cx="314325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BILDAD</a:t>
          </a:r>
          <a:r>
            <a:rPr lang="en-US" sz="1100" b="1" baseline="0">
              <a:solidFill>
                <a:schemeClr val="dk1"/>
              </a:solidFill>
              <a:effectLst/>
              <a:latin typeface="+mn-lt"/>
              <a:ea typeface="+mn-ea"/>
              <a:cs typeface="+mn-cs"/>
            </a:rPr>
            <a:t> ANALYTICS REPORT</a:t>
          </a:r>
          <a:endParaRPr lang="en-US">
            <a:effectLst/>
          </a:endParaRPr>
        </a:p>
        <a:p>
          <a:endParaRPr lang="en-US" sz="1100">
            <a:solidFill>
              <a:sysClr val="windowText" lastClr="000000"/>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5.664346296297" backgroundQuery="1" createdVersion="8" refreshedVersion="8" minRefreshableVersion="3" recordCount="0" supportSubquery="1" supportAdvancedDrill="1" xr:uid="{D5EB57D3-FACD-4114-8EE1-518D0BCF4264}">
  <cacheSource type="external" connectionId="1"/>
  <cacheFields count="2">
    <cacheField name="[Table1].[Category].[Category]" caption="Category" numFmtId="0" hierarchy="6" level="1">
      <sharedItems count="5">
        <s v="Beauty"/>
        <s v="Clothing"/>
        <s v="Electronics"/>
        <s v="Home"/>
        <s v="Sports"/>
      </sharedItems>
    </cacheField>
    <cacheField name="[Measures].[Sum of Revenue 2]" caption="Sum of Revenue 2" numFmtId="0" hierarchy="25" level="32767"/>
  </cacheFields>
  <cacheHierarchies count="28">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UnitPrice]" caption="UnitPrice" attribute="1" defaultMemberUniqueName="[Table1].[UnitPrice].[All]" allUniqueName="[Table1].[UnitPri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5"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Price]" caption="UnitPrice" attribute="1" defaultMemberUniqueName="[Table2].[UnitPrice].[All]" allUniqueName="[Table2].[UnitPrice].[All]" dimensionUniqueName="[Table2]" displayFolder="" count="0" memberValueDatatype="5" unbalanced="0"/>
    <cacheHierarchy uniqueName="[Table3].[CustomerID]" caption="CustomerID" attribute="1" defaultMemberUniqueName="[Table3].[CustomerID].[All]" allUniqueName="[Table3].[CustomerID].[All]" dimensionUniqueName="[Table3]" displayFolder="" count="0" memberValueDatatype="130" unbalanced="0"/>
    <cacheHierarchy uniqueName="[Table3].[CustomerName]" caption="CustomerName" attribute="1" defaultMemberUniqueName="[Table3].[CustomerName].[All]" allUniqueName="[Table3].[CustomerName].[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SignupDate]" caption="SignupDate" attribute="1" time="1" defaultMemberUniqueName="[Table3].[SignupDate].[All]" allUniqueName="[Table3].[SignupDate].[All]" dimensionUniqueName="[Table3]" displayFolder="" count="0" memberValueDatatype="7"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evenue 2]" caption="Sum of Revenue 2"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esAmount]" caption="Sum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5.664349074075" backgroundQuery="1" createdVersion="8" refreshedVersion="8" minRefreshableVersion="3" recordCount="0" supportSubquery="1" supportAdvancedDrill="1" xr:uid="{38C506C9-F47B-46F3-A6BA-4BD83425E147}">
  <cacheSource type="external" connectionId="1"/>
  <cacheFields count="4">
    <cacheField name="[Table1].[Category].[Category]" caption="Category" numFmtId="0" hierarchy="6" level="1">
      <sharedItems count="5">
        <s v="Beauty"/>
        <s v="Clothing"/>
        <s v="Electronics"/>
        <s v="Home"/>
        <s v="Sports"/>
      </sharedItems>
    </cacheField>
    <cacheField name="[Table1].[Country].[Country]" caption="Country" numFmtId="0" hierarchy="8" level="1">
      <sharedItems count="4">
        <s v="Canada"/>
        <s v="India"/>
        <s v="United Kingdom"/>
        <s v="United States"/>
      </sharedItems>
    </cacheField>
    <cacheField name="[Table2].[ProductName].[ProductName]" caption="ProductName" numFmtId="0" hierarchy="12" level="1">
      <sharedItems count="5">
        <s v="Product_10"/>
        <s v="Product_13"/>
        <s v="Product_24"/>
        <s v="Product_3"/>
        <s v="Product_8"/>
      </sharedItems>
    </cacheField>
    <cacheField name="[Measures].[Sum of SalesAmount]" caption="Sum of SalesAmount" numFmtId="0" hierarchy="26" level="32767"/>
  </cacheFields>
  <cacheHierarchies count="28">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UnitPrice]" caption="UnitPrice" attribute="1" defaultMemberUniqueName="[Table1].[UnitPrice].[All]" allUniqueName="[Table1].[UnitPrice].[All]" dimensionUniqueName="[Table1]" displayFolder="" count="0" memberValueDatatype="5" unbalanced="0"/>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Revenue]" caption="Revenue" attribute="1" defaultMemberUniqueName="[Table1].[Revenue].[All]" allUniqueName="[Table1].[Revenue].[All]" dimensionUniqueName="[Table1]" displayFolder="" count="0" memberValueDatatype="5"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2" memberValueDatatype="130" unbalanced="0">
      <fieldsUsage count="2">
        <fieldUsage x="-1"/>
        <fieldUsage x="2"/>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UnitPrice]" caption="UnitPrice" attribute="1" defaultMemberUniqueName="[Table2].[UnitPrice].[All]" allUniqueName="[Table2].[UnitPrice].[All]" dimensionUniqueName="[Table2]" displayFolder="" count="0" memberValueDatatype="5" unbalanced="0"/>
    <cacheHierarchy uniqueName="[Table3].[CustomerID]" caption="CustomerID" attribute="1" defaultMemberUniqueName="[Table3].[CustomerID].[All]" allUniqueName="[Table3].[CustomerID].[All]" dimensionUniqueName="[Table3]" displayFolder="" count="0" memberValueDatatype="130" unbalanced="0"/>
    <cacheHierarchy uniqueName="[Table3].[CustomerName]" caption="CustomerName" attribute="1" defaultMemberUniqueName="[Table3].[CustomerName].[All]" allUniqueName="[Table3].[CustomerName].[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SignupDate]" caption="SignupDate" attribute="1" time="1" defaultMemberUniqueName="[Table3].[SignupDate].[All]" allUniqueName="[Table3].[SignupDate].[All]" dimensionUniqueName="[Table3]" displayFolder="" count="0" memberValueDatatype="7"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evenue 2]" caption="Sum of Revenue 2" measure="1" displayFolder="" measureGroup="Table1" count="0" hidden="1">
      <extLst>
        <ext xmlns:x15="http://schemas.microsoft.com/office/spreadsheetml/2010/11/main" uri="{B97F6D7D-B522-45F9-BDA1-12C45D357490}">
          <x15:cacheHierarchy aggregatedColumn="9"/>
        </ext>
      </extLst>
    </cacheHierarchy>
    <cacheHierarchy uniqueName="[Measures].[Sum of SalesAmount]" caption="Sum of SalesAmount" measure="1" displayFolder="" measureGroup="Table1"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5.664351041669" backgroundQuery="1" createdVersion="8" refreshedVersion="8" minRefreshableVersion="3" recordCount="0" supportSubquery="1" supportAdvancedDrill="1" xr:uid="{BF42620B-1891-463A-9D64-211ADB0E187F}">
  <cacheSource type="external" connectionId="1"/>
  <cacheFields count="4">
    <cacheField name="[Table1].[Category].[Category]" caption="Category" numFmtId="0" hierarchy="6" level="1">
      <sharedItems count="5">
        <s v="Beauty"/>
        <s v="Clothing"/>
        <s v="Electronics"/>
        <s v="Home"/>
        <s v="Sports"/>
      </sharedItems>
    </cacheField>
    <cacheField name="[Table1].[OrderID].[OrderID]" caption="OrderID" numFmtId="0" level="1">
      <sharedItems count="5">
        <s v="ORD0053"/>
        <s v="ORD0072"/>
        <s v="ORD0172"/>
        <s v="ORD0203"/>
        <s v="ORD0360"/>
      </sharedItems>
    </cacheField>
    <cacheField name="[Table1].[OrderDate (Month)].[OrderDate (Month)]" caption="OrderDate (Month)" numFmtId="0" hierarchy="10" level="1">
      <sharedItems count="6">
        <s v="Jan"/>
        <s v="Feb"/>
        <s v="Mar"/>
        <s v="Apr"/>
        <s v="May"/>
        <s v="Jun"/>
      </sharedItems>
    </cacheField>
    <cacheField name="[Measures].[Sum of Revenue 2]" caption="Sum of Revenue 2" numFmtId="0" hierarchy="25" level="32767"/>
  </cacheFields>
  <cacheHierarchies count="28">
    <cacheHierarchy uniqueName="[Table1].[OrderID]" caption="OrderID" attribute="1" defaultMemberUniqueName="[Table1].[OrderID].[All]" allUniqueName="[Table1].[OrderID].[All]" dimensionUniqueName="[Table1]" displayFolder="" count="2" memberValueDatatype="130" unbalanced="0">
      <fieldsUsage count="2">
        <fieldUsage x="-1"/>
        <fieldUsage x="1"/>
      </fieldsUsage>
    </cacheHierarchy>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UnitPrice]" caption="UnitPrice" attribute="1" defaultMemberUniqueName="[Table1].[UnitPrice].[All]" allUniqueName="[Table1].[UnitPri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5" unbalanced="0"/>
    <cacheHierarchy uniqueName="[Table1].[OrderDate (Month)]" caption="OrderDate (Month)" attribute="1" defaultMemberUniqueName="[Table1].[OrderDate (Month)].[All]" allUniqueName="[Table1].[OrderDate (Month)].[All]" dimensionUniqueName="[Table1]" displayFolder="" count="2" memberValueDatatype="130" unbalanced="0">
      <fieldsUsage count="2">
        <fieldUsage x="-1"/>
        <fieldUsage x="2"/>
      </fieldsUsage>
    </cacheHierarchy>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Price]" caption="UnitPrice" attribute="1" defaultMemberUniqueName="[Table2].[UnitPrice].[All]" allUniqueName="[Table2].[UnitPrice].[All]" dimensionUniqueName="[Table2]" displayFolder="" count="0" memberValueDatatype="5" unbalanced="0"/>
    <cacheHierarchy uniqueName="[Table3].[CustomerID]" caption="CustomerID" attribute="1" defaultMemberUniqueName="[Table3].[CustomerID].[All]" allUniqueName="[Table3].[CustomerID].[All]" dimensionUniqueName="[Table3]" displayFolder="" count="0" memberValueDatatype="130" unbalanced="0"/>
    <cacheHierarchy uniqueName="[Table3].[CustomerName]" caption="CustomerName" attribute="1" defaultMemberUniqueName="[Table3].[CustomerName].[All]" allUniqueName="[Table3].[CustomerName].[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SignupDate]" caption="SignupDate" attribute="1" time="1" defaultMemberUniqueName="[Table3].[SignupDate].[All]" allUniqueName="[Table3].[SignupDate].[All]" dimensionUniqueName="[Table3]" displayFolder="" count="0" memberValueDatatype="7"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evenue 2]" caption="Sum of Revenue 2" measure="1" displayFolder="" measureGroup="Table1"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SalesAmount]" caption="Sum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5.664352662039" backgroundQuery="1" createdVersion="8" refreshedVersion="8" minRefreshableVersion="3" recordCount="0" supportSubquery="1" supportAdvancedDrill="1" xr:uid="{1A699E56-E032-4DE2-AF75-8516F694472C}">
  <cacheSource type="external" connectionId="1"/>
  <cacheFields count="3">
    <cacheField name="[Table1].[Category].[Category]" caption="Category" numFmtId="0" hierarchy="6" level="1">
      <sharedItems count="5">
        <s v="Beauty"/>
        <s v="Clothing"/>
        <s v="Electronics"/>
        <s v="Home"/>
        <s v="Sports"/>
      </sharedItems>
    </cacheField>
    <cacheField name="[Measures].[Sum of Revenue 2]" caption="Sum of Revenue 2" numFmtId="0" hierarchy="25" level="32767"/>
    <cacheField name="[Table1].[OrderID].[OrderID]" caption="OrderID" numFmtId="0" level="1">
      <sharedItems count="5">
        <s v="ORD0053"/>
        <s v="ORD0072"/>
        <s v="ORD0172"/>
        <s v="ORD0203"/>
        <s v="ORD0360"/>
      </sharedItems>
    </cacheField>
  </cacheFields>
  <cacheHierarchies count="28">
    <cacheHierarchy uniqueName="[Table1].[OrderID]" caption="OrderID" attribute="1" defaultMemberUniqueName="[Table1].[OrderID].[All]" allUniqueName="[Table1].[OrderID].[All]" dimensionUniqueName="[Table1]" displayFolder="" count="2" memberValueDatatype="130" unbalanced="0">
      <fieldsUsage count="2">
        <fieldUsage x="-1"/>
        <fieldUsage x="2"/>
      </fieldsUsage>
    </cacheHierarchy>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UnitPrice]" caption="UnitPrice" attribute="1" defaultMemberUniqueName="[Table1].[UnitPrice].[All]" allUniqueName="[Table1].[UnitPri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5"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Price]" caption="UnitPrice" attribute="1" defaultMemberUniqueName="[Table2].[UnitPrice].[All]" allUniqueName="[Table2].[UnitPrice].[All]" dimensionUniqueName="[Table2]" displayFolder="" count="0" memberValueDatatype="5" unbalanced="0"/>
    <cacheHierarchy uniqueName="[Table3].[CustomerID]" caption="CustomerID" attribute="1" defaultMemberUniqueName="[Table3].[CustomerID].[All]" allUniqueName="[Table3].[CustomerID].[All]" dimensionUniqueName="[Table3]" displayFolder="" count="0" memberValueDatatype="130" unbalanced="0"/>
    <cacheHierarchy uniqueName="[Table3].[CustomerName]" caption="CustomerName" attribute="1" defaultMemberUniqueName="[Table3].[CustomerName].[All]" allUniqueName="[Table3].[CustomerName].[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SignupDate]" caption="SignupDate" attribute="1" time="1" defaultMemberUniqueName="[Table3].[SignupDate].[All]" allUniqueName="[Table3].[SignupDate].[All]" dimensionUniqueName="[Table3]" displayFolder="" count="0" memberValueDatatype="7"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evenue 2]" caption="Sum of Revenue 2"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esAmount]" caption="Sum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5.664354629633" backgroundQuery="1" createdVersion="8" refreshedVersion="8" minRefreshableVersion="3" recordCount="0" supportSubquery="1" supportAdvancedDrill="1" xr:uid="{F74FDE62-B0BD-4AA3-8AFD-883ACEFBA500}">
  <cacheSource type="external" connectionId="1"/>
  <cacheFields count="5">
    <cacheField name="[Table1].[Category].[Category]" caption="Category" numFmtId="0" hierarchy="6" level="1">
      <sharedItems count="5">
        <s v="Beauty"/>
        <s v="Clothing"/>
        <s v="Electronics"/>
        <s v="Home"/>
        <s v="Sports"/>
      </sharedItems>
    </cacheField>
    <cacheField name="[Table1].[Country].[Country]" caption="Country" numFmtId="0" hierarchy="8" level="1">
      <sharedItems count="4">
        <s v="Canada"/>
        <s v="India"/>
        <s v="United Kingdom"/>
        <s v="United States"/>
      </sharedItems>
    </cacheField>
    <cacheField name="[Table2].[ProductName].[ProductName]" caption="ProductName" numFmtId="0" hierarchy="12" level="1">
      <sharedItems count="5">
        <s v="Product_10"/>
        <s v="Product_13"/>
        <s v="Product_24"/>
        <s v="Product_3"/>
        <s v="Product_8"/>
      </sharedItems>
    </cacheField>
    <cacheField name="[Measures].[Sum of SalesAmount]" caption="Sum of SalesAmount" numFmtId="0" hierarchy="26" level="32767"/>
    <cacheField name="[Measures].[Sum of Quantity]" caption="Sum of Quantity" numFmtId="0" hierarchy="27" level="32767"/>
  </cacheFields>
  <cacheHierarchies count="28">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UnitPrice]" caption="UnitPrice" attribute="1" defaultMemberUniqueName="[Table1].[UnitPrice].[All]" allUniqueName="[Table1].[UnitPrice].[All]" dimensionUniqueName="[Table1]" displayFolder="" count="0" memberValueDatatype="5" unbalanced="0"/>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Revenue]" caption="Revenue" attribute="1" defaultMemberUniqueName="[Table1].[Revenue].[All]" allUniqueName="[Table1].[Revenue].[All]" dimensionUniqueName="[Table1]" displayFolder="" count="0" memberValueDatatype="5"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2" memberValueDatatype="130" unbalanced="0">
      <fieldsUsage count="2">
        <fieldUsage x="-1"/>
        <fieldUsage x="2"/>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UnitPrice]" caption="UnitPrice" attribute="1" defaultMemberUniqueName="[Table2].[UnitPrice].[All]" allUniqueName="[Table2].[UnitPrice].[All]" dimensionUniqueName="[Table2]" displayFolder="" count="0" memberValueDatatype="5" unbalanced="0"/>
    <cacheHierarchy uniqueName="[Table3].[CustomerID]" caption="CustomerID" attribute="1" defaultMemberUniqueName="[Table3].[CustomerID].[All]" allUniqueName="[Table3].[CustomerID].[All]" dimensionUniqueName="[Table3]" displayFolder="" count="0" memberValueDatatype="130" unbalanced="0"/>
    <cacheHierarchy uniqueName="[Table3].[CustomerName]" caption="CustomerName" attribute="1" defaultMemberUniqueName="[Table3].[CustomerName].[All]" allUniqueName="[Table3].[CustomerName].[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SignupDate]" caption="SignupDate" attribute="1" time="1" defaultMemberUniqueName="[Table3].[SignupDate].[All]" allUniqueName="[Table3].[SignupDate].[All]" dimensionUniqueName="[Table3]" displayFolder="" count="0" memberValueDatatype="7"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evenue 2]" caption="Sum of Revenue 2" measure="1" displayFolder="" measureGroup="Table1" count="0" hidden="1">
      <extLst>
        <ext xmlns:x15="http://schemas.microsoft.com/office/spreadsheetml/2010/11/main" uri="{B97F6D7D-B522-45F9-BDA1-12C45D357490}">
          <x15:cacheHierarchy aggregatedColumn="9"/>
        </ext>
      </extLst>
    </cacheHierarchy>
    <cacheHierarchy uniqueName="[Measures].[Sum of SalesAmount]" caption="Sum of SalesAmount" measure="1" displayFolder="" measureGroup="Table1"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oneField="1" hidden="1">
      <fieldsUsage count="1">
        <fieldUsage x="4"/>
      </fieldsUsage>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5.670427546298" backgroundQuery="1" createdVersion="8" refreshedVersion="8" minRefreshableVersion="3" recordCount="0" supportSubquery="1" supportAdvancedDrill="1" xr:uid="{56CFB4AD-89DA-41F7-96AB-3CB706501A4A}">
  <cacheSource type="external" connectionId="1"/>
  <cacheFields count="3">
    <cacheField name="[Table1].[Category].[Category]" caption="Category" numFmtId="0" hierarchy="6" level="1">
      <sharedItems count="5">
        <s v="Beauty"/>
        <s v="Clothing"/>
        <s v="Electronics"/>
        <s v="Home"/>
        <s v="Sports"/>
      </sharedItems>
    </cacheField>
    <cacheField name="[Measures].[Sum of Revenue 2]" caption="Sum of Revenue 2" numFmtId="0" hierarchy="25" level="32767"/>
    <cacheField name="[Table1].[Country].[Country]" caption="Country" numFmtId="0" hierarchy="8" level="1">
      <sharedItems count="4">
        <s v="Canada"/>
        <s v="India"/>
        <s v="United Kingdom"/>
        <s v="United States"/>
      </sharedItems>
    </cacheField>
  </cacheFields>
  <cacheHierarchies count="28">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2"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UnitPrice]" caption="UnitPrice" attribute="1" defaultMemberUniqueName="[Table1].[UnitPrice].[All]" allUniqueName="[Table1].[UnitPrice].[All]" dimensionUniqueName="[Table1]" displayFolder="" count="0" memberValueDatatype="5"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Revenue]" caption="Revenue" attribute="1" defaultMemberUniqueName="[Table1].[Revenue].[All]" allUniqueName="[Table1].[Revenue].[All]" dimensionUniqueName="[Table1]" displayFolder="" count="0" memberValueDatatype="5"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Price]" caption="UnitPrice" attribute="1" defaultMemberUniqueName="[Table2].[UnitPrice].[All]" allUniqueName="[Table2].[UnitPrice].[All]" dimensionUniqueName="[Table2]" displayFolder="" count="0" memberValueDatatype="5" unbalanced="0"/>
    <cacheHierarchy uniqueName="[Table3].[CustomerID]" caption="CustomerID" attribute="1" defaultMemberUniqueName="[Table3].[CustomerID].[All]" allUniqueName="[Table3].[CustomerID].[All]" dimensionUniqueName="[Table3]" displayFolder="" count="0" memberValueDatatype="130" unbalanced="0"/>
    <cacheHierarchy uniqueName="[Table3].[CustomerName]" caption="CustomerName" attribute="1" defaultMemberUniqueName="[Table3].[CustomerName].[All]" allUniqueName="[Table3].[CustomerName].[All]" dimensionUniqueName="[Table3]" displayFolder="" count="2" memberValueDatatype="130" unbalanced="0"/>
    <cacheHierarchy uniqueName="[Table3].[Email]" caption="Email" attribute="1" defaultMemberUniqueName="[Table3].[Email].[All]" allUniqueName="[Table3].[Email].[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SignupDate]" caption="SignupDate" attribute="1" time="1" defaultMemberUniqueName="[Table3].[SignupDate].[All]" allUniqueName="[Table3].[SignupDate].[All]" dimensionUniqueName="[Table3]" displayFolder="" count="0" memberValueDatatype="7"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evenue 2]" caption="Sum of Revenue 2"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esAmount]" caption="Sum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5.664339236107" backgroundQuery="1" createdVersion="3" refreshedVersion="8" minRefreshableVersion="3" recordCount="0" supportSubquery="1" supportAdvancedDrill="1" xr:uid="{A722227E-3796-487B-8478-63525AC452E4}">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5" unbalanced="0"/>
    <cacheHierarchy uniqueName="[Table1].[Category]" caption="Category" attribute="1" defaultMemberUniqueName="[Table1].[Category].[All]" allUniqueName="[Table1].[Category].[All]" dimensionUniqueName="[Table1]" displayFolder="" count="0"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Country]" caption="Country" attribute="1" defaultMemberUniqueName="[Table1].[Country].[All]" allUniqueName="[Table1].[Country].[All]" dimensionUniqueName="[Table1]" displayFolder="" count="2" memberValueDatatype="130" unbalanced="0"/>
    <cacheHierarchy uniqueName="[Table1].[Revenue]" caption="Revenue" attribute="1" defaultMemberUniqueName="[Table1].[Revenue].[All]" allUniqueName="[Table1].[Revenue].[All]" dimensionUniqueName="[Table1]" displayFolder="" count="0" memberValueDatatype="5"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Price]" caption="UnitPrice" attribute="1" defaultMemberUniqueName="[Table2].[UnitPrice].[All]" allUniqueName="[Table2].[UnitPrice].[All]" dimensionUniqueName="[Table2]" displayFolder="" count="0" memberValueDatatype="5" unbalanced="0"/>
    <cacheHierarchy uniqueName="[Table3].[CustomerID]" caption="CustomerID" attribute="1" defaultMemberUniqueName="[Table3].[CustomerID].[All]" allUniqueName="[Table3].[CustomerID].[All]" dimensionUniqueName="[Table3]" displayFolder="" count="0" memberValueDatatype="130" unbalanced="0"/>
    <cacheHierarchy uniqueName="[Table3].[CustomerName]" caption="CustomerName" attribute="1" defaultMemberUniqueName="[Table3].[CustomerName].[All]" allUniqueName="[Table3].[CustomerName].[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SignupDate]" caption="SignupDate" attribute="1" time="1" defaultMemberUniqueName="[Table3].[SignupDate].[All]" allUniqueName="[Table3].[SignupDate].[All]" dimensionUniqueName="[Table3]" displayFolder="" count="0" memberValueDatatype="7"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evenue 2]" caption="Sum of Revenue 2" measure="1" displayFolder="" measureGroup="Table1" count="0" hidden="1">
      <extLst>
        <ext xmlns:x15="http://schemas.microsoft.com/office/spreadsheetml/2010/11/main" uri="{B97F6D7D-B522-45F9-BDA1-12C45D357490}">
          <x15:cacheHierarchy aggregatedColumn="9"/>
        </ext>
      </extLst>
    </cacheHierarchy>
    <cacheHierarchy uniqueName="[Measures].[Sum of SalesAmount]" caption="Sum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93042337"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5.66434502315" backgroundQuery="1" createdVersion="3" refreshedVersion="8" minRefreshableVersion="3" recordCount="0" supportSubquery="1" supportAdvancedDrill="1" xr:uid="{5BF07480-8E6B-407C-9E6D-D3A7024EAE63}">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5"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Name]" caption="ProductName" attribute="1" defaultMemberUniqueName="[Table2].[ProductName].[All]" allUniqueName="[Table2].[Product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Price]" caption="UnitPrice" attribute="1" defaultMemberUniqueName="[Table2].[UnitPrice].[All]" allUniqueName="[Table2].[UnitPrice].[All]" dimensionUniqueName="[Table2]" displayFolder="" count="0" memberValueDatatype="5" unbalanced="0"/>
    <cacheHierarchy uniqueName="[Table3].[CustomerID]" caption="CustomerID" attribute="1" defaultMemberUniqueName="[Table3].[CustomerID].[All]" allUniqueName="[Table3].[CustomerID].[All]" dimensionUniqueName="[Table3]" displayFolder="" count="0" memberValueDatatype="130" unbalanced="0"/>
    <cacheHierarchy uniqueName="[Table3].[CustomerName]" caption="CustomerName" attribute="1" defaultMemberUniqueName="[Table3].[CustomerName].[All]" allUniqueName="[Table3].[CustomerName].[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SignupDate]" caption="SignupDate" attribute="1" time="1" defaultMemberUniqueName="[Table3].[SignupDate].[All]" allUniqueName="[Table3].[SignupDate].[All]" dimensionUniqueName="[Table3]" displayFolder="" count="0" memberValueDatatype="7"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evenue 2]" caption="Sum of Revenue 2" measure="1" displayFolder="" measureGroup="Table1" count="0" hidden="1">
      <extLst>
        <ext xmlns:x15="http://schemas.microsoft.com/office/spreadsheetml/2010/11/main" uri="{B97F6D7D-B522-45F9-BDA1-12C45D357490}">
          <x15:cacheHierarchy aggregatedColumn="9"/>
        </ext>
      </extLst>
    </cacheHierarchy>
    <cacheHierarchy uniqueName="[Measures].[Sum of SalesAmount]" caption="Sum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661398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334836-96FE-48D0-B350-97B00629A0E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Order">
  <location ref="A12:B19" firstHeaderRow="1" firstDataRow="1" firstDataCol="1"/>
  <pivotFields count="4">
    <pivotField allDrilled="1" subtotalTop="0" showAll="0" dataSourceSort="1" defaultSubtotal="0" defaultAttributeDrillState="1">
      <items count="5">
        <item s="1" x="0"/>
        <item s="1" x="1"/>
        <item s="1" x="2"/>
        <item s="1" x="3"/>
        <item s="1"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2"/>
  </rowFields>
  <rowItems count="7">
    <i>
      <x/>
    </i>
    <i>
      <x v="1"/>
    </i>
    <i>
      <x v="2"/>
    </i>
    <i>
      <x v="3"/>
    </i>
    <i>
      <x v="4"/>
    </i>
    <i>
      <x v="5"/>
    </i>
    <i t="grand">
      <x/>
    </i>
  </rowItems>
  <colItems count="1">
    <i/>
  </colItems>
  <dataFields count="1">
    <dataField name="Sum of Revenue"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25">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33DE75-E000-4EC1-A28E-E30FFB7CB348}"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location ref="G3:H9" firstHeaderRow="1" firstDataRow="1" firstDataCol="1"/>
  <pivotFields count="3">
    <pivotField allDrilled="1" subtotalTop="0" showAll="0" dataSourceSort="1" defaultSubtotal="0" defaultAttributeDrillState="1">
      <items count="5">
        <item s="1" x="0"/>
        <item s="1" x="1"/>
        <item s="1" x="2"/>
        <item s="1" x="3"/>
        <item s="1" x="4"/>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1"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count" id="3" iMeasureHier="25">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8E78D8-B6FE-413F-BCB6-6CE47B8E4357}" name="PivotTable2"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Country">
  <location ref="D3:E8" firstHeaderRow="1" firstDataRow="1" firstDataCol="1"/>
  <pivotFields count="3">
    <pivotField allDrilled="1" subtotalTop="0" showAll="0" dataSourceSort="1" defaultSubtotal="0" defaultAttributeDrillState="1">
      <items count="5">
        <item s="1" x="0"/>
        <item s="1" x="1"/>
        <item s="1" x="2"/>
        <item s="1" x="3"/>
        <item s="1" x="4"/>
      </items>
    </pivotField>
    <pivotField dataField="1" subtotalTop="0" showAll="0" defaultSubtotal="0"/>
    <pivotField axis="axisRow" allDrilled="1" subtotalTop="0" showAll="0" dataSourceSort="1" defaultSubtotal="0" defaultAttributeDrillState="1">
      <items count="4">
        <item s="1" x="0"/>
        <item s="1" x="1"/>
        <item s="1" x="2"/>
        <item s="1" x="3"/>
      </items>
    </pivotField>
  </pivotFields>
  <rowFields count="1">
    <field x="2"/>
  </rowFields>
  <rowItems count="5">
    <i>
      <x/>
    </i>
    <i>
      <x v="1"/>
    </i>
    <i>
      <x v="2"/>
    </i>
    <i>
      <x v="3"/>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13562A-D8AC-4052-B46D-9ACB9F7CBD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C0E0E3-9829-4AE0-95BE-33D291A33B4C}"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Name">
  <location ref="G12:H13" firstHeaderRow="0" firstDataRow="1" firstDataCol="0"/>
  <pivotFields count="5">
    <pivotField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items count="4">
        <item s="1" x="0"/>
        <item s="1" x="1"/>
        <item s="1" x="2"/>
        <item s="1" x="3"/>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SalesAmount" fld="3" baseField="0" baseItem="0"/>
    <dataField name="Sum of Quantity" fld="4" baseField="0" baseItem="0"/>
  </dataFields>
  <chartFormats count="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6">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F8F9F9-BFC9-47DE-A4F2-25E7245DEB0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Name">
  <location ref="D12:E18" firstHeaderRow="1" firstDataRow="1" firstDataCol="1"/>
  <pivotFields count="4">
    <pivotField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items count="4">
        <item s="1" x="0"/>
        <item s="1" x="1"/>
        <item s="1" x="2"/>
        <item s="1" x="3"/>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2"/>
  </rowFields>
  <rowItems count="6">
    <i>
      <x/>
    </i>
    <i>
      <x v="1"/>
    </i>
    <i>
      <x v="2"/>
    </i>
    <i>
      <x v="3"/>
    </i>
    <i>
      <x v="4"/>
    </i>
    <i t="grand">
      <x/>
    </i>
  </rowItems>
  <colItems count="1">
    <i/>
  </colItems>
  <dataFields count="1">
    <dataField name="Sum of SalesAmount" fld="3" baseField="0" baseItem="0"/>
  </dataFields>
  <chartFormats count="7">
    <chartFormat chart="4"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2" count="1" selected="0">
            <x v="0"/>
          </reference>
        </references>
      </pivotArea>
    </chartFormat>
    <chartFormat chart="9" format="9">
      <pivotArea type="data" outline="0" fieldPosition="0">
        <references count="2">
          <reference field="4294967294" count="1" selected="0">
            <x v="0"/>
          </reference>
          <reference field="2" count="1" selected="0">
            <x v="1"/>
          </reference>
        </references>
      </pivotArea>
    </chartFormat>
    <chartFormat chart="9" format="10">
      <pivotArea type="data" outline="0" fieldPosition="0">
        <references count="2">
          <reference field="4294967294" count="1" selected="0">
            <x v="0"/>
          </reference>
          <reference field="2" count="1" selected="0">
            <x v="2"/>
          </reference>
        </references>
      </pivotArea>
    </chartFormat>
    <chartFormat chart="9" format="11">
      <pivotArea type="data" outline="0" fieldPosition="0">
        <references count="2">
          <reference field="4294967294" count="1" selected="0">
            <x v="0"/>
          </reference>
          <reference field="2" count="1" selected="0">
            <x v="3"/>
          </reference>
        </references>
      </pivotArea>
    </chartFormat>
    <chartFormat chart="9" format="12">
      <pivotArea type="data" outline="0" fieldPosition="0">
        <references count="2">
          <reference field="4294967294" count="1" selected="0">
            <x v="0"/>
          </reference>
          <reference field="2" count="1" selected="0">
            <x v="4"/>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6">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1D589A3-14F6-40EC-9D86-690A4ED30AC7}" sourceName="[Table1].[Category]">
  <pivotTables>
    <pivotTable tabId="4" name="PivotTable1"/>
  </pivotTables>
  <data>
    <olap pivotCacheId="266139894">
      <levels count="2">
        <level uniqueName="[Table1].[Category].[(All)]" sourceCaption="(All)" count="0"/>
        <level uniqueName="[Table1].[Category].[Category]" sourceCaption="Category" count="5">
          <ranges>
            <range startItem="0">
              <i n="[Table1].[Category].&amp;[Beauty]" c="Beauty"/>
              <i n="[Table1].[Category].&amp;[Clothing]" c="Clothing"/>
              <i n="[Table1].[Category].&amp;[Electronics]" c="Electronics"/>
              <i n="[Table1].[Category].&amp;[Home]" c="Home"/>
              <i n="[Table1].[Category].&amp;[Sports]" c="Sports"/>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96D0859-166C-4622-919C-E60C4ADE34DE}" sourceName="[Table1].[Country]">
  <pivotTables>
    <pivotTable tabId="4" name="PivotTable2"/>
  </pivotTables>
  <data>
    <olap pivotCacheId="293042337">
      <levels count="2">
        <level uniqueName="[Table1].[Country].[(All)]" sourceCaption="(All)" count="0"/>
        <level uniqueName="[Table1].[Country].[Country]" sourceCaption="Country" count="4">
          <ranges>
            <range startItem="0">
              <i n="[Table1].[Country].&amp;[Canada]" c="Canada"/>
              <i n="[Table1].[Country].&amp;[India]" c="India"/>
              <i n="[Table1].[Country].&amp;[United Kingdom]" c="United Kingdom"/>
              <i n="[Table1].[Country].&amp;[United States]" c="United States"/>
            </range>
          </ranges>
        </level>
      </levels>
      <selections count="4">
        <selection n="[Table1].[Country].&amp;[Canada]"/>
        <selection n="[Table1].[Country].&amp;[India]"/>
        <selection n="[Table1].[Country].&amp;[United Kingdom]"/>
        <selection n="[Table1].[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F494187-3544-4101-9F9D-498076F02273}" cache="Slicer_Category" caption="Category" level="1" rowHeight="257175"/>
  <slicer name="Country" xr10:uid="{66CA3A25-8A00-4998-92A9-915A5B233152}" cache="Slicer_Country" caption="Country"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D5C9CD-A995-43DE-9CB9-6035FED93CAF}" name="Table1" displayName="Table1" ref="A1:J362" totalsRowCount="1" headerRowDxfId="40" dataDxfId="38" headerRowBorderDxfId="39" tableBorderDxfId="37">
  <autoFilter ref="A1:J361" xr:uid="{5BD5C9CD-A995-43DE-9CB9-6035FED93CAF}"/>
  <tableColumns count="10">
    <tableColumn id="1" xr3:uid="{FB181B39-DC0C-41EC-B982-2919E8D88FE5}" name="OrderID" dataDxfId="36" totalsRowDxfId="35"/>
    <tableColumn id="2" xr3:uid="{2FA317DE-13C7-4C46-A66D-8B7F62CEFC0B}" name="OrderDate" dataDxfId="34" totalsRowDxfId="33"/>
    <tableColumn id="3" xr3:uid="{9B275014-9130-4B3D-B64F-842C469563C3}" name="CustomerID" dataDxfId="32" totalsRowDxfId="31"/>
    <tableColumn id="4" xr3:uid="{E95B8578-B7B9-4D7A-8644-D505F1989615}" name="ProductID" dataDxfId="30" totalsRowDxfId="29"/>
    <tableColumn id="5" xr3:uid="{C7A2B569-797A-42ED-8171-80C66778772A}" name="Quantity" totalsRowFunction="custom" dataDxfId="28" totalsRowDxfId="27">
      <totalsRowFormula>SUM(E2:E361)</totalsRowFormula>
    </tableColumn>
    <tableColumn id="6" xr3:uid="{9E3586F7-7316-44D9-8150-21402988F1E9}" name="SalesAmount" totalsRowFunction="custom" dataDxfId="26" totalsRowDxfId="25">
      <totalsRowFormula>AVERAGE(F2:F361)</totalsRowFormula>
    </tableColumn>
    <tableColumn id="7" xr3:uid="{387C4E00-B1B7-4623-A648-C913C70338BD}" name="Category" totalsRowFunction="custom" dataDxfId="24" totalsRowDxfId="23">
      <calculatedColumnFormula>_xlfn.XLOOKUP($D$1:$D$361,Products!$A$1:$A$41,Products!$C$1:$C$41)</calculatedColumnFormula>
      <totalsRowFormula>SUMIF(G2:G361,"Beauty", J2:J361)</totalsRowFormula>
    </tableColumn>
    <tableColumn id="8" xr3:uid="{D47E05BA-129B-4979-8B05-E500993DF1F8}" name="UnitPrice" dataDxfId="22" totalsRowDxfId="21">
      <calculatedColumnFormula>_xlfn.XLOOKUP(Sales!D:D,Products!A:A,Products!D:D)</calculatedColumnFormula>
    </tableColumn>
    <tableColumn id="9" xr3:uid="{2159E228-E3B2-48A2-BE06-A8CC4C729AD9}" name="Country" dataDxfId="20" totalsRowDxfId="19">
      <calculatedColumnFormula>_xlfn.XLOOKUP(Table1[[#This Row],[CustomerID]],Customer_info!A:A,Customer_info!D:D)</calculatedColumnFormula>
    </tableColumn>
    <tableColumn id="10" xr3:uid="{C932F697-2037-4C6A-9701-093B6AC7B117}" name="Revenue" totalsRowFunction="custom" dataDxfId="18" totalsRowDxfId="17">
      <calculatedColumnFormula>Table1[[#This Row],[Quantity]]*Table1[[#This Row],[UnitPrice]]</calculatedColumnFormula>
      <totalsRowFormula>SUM(J2:J361)</totalsRow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A1DABF-E94D-47F5-980D-838DF3FD8CDC}" name="Table2" displayName="Table2" ref="A1:D41" totalsRowShown="0" headerRowDxfId="16" dataDxfId="14" headerRowBorderDxfId="15" tableBorderDxfId="13">
  <autoFilter ref="A1:D41" xr:uid="{EDA1DABF-E94D-47F5-980D-838DF3FD8CDC}"/>
  <tableColumns count="4">
    <tableColumn id="1" xr3:uid="{E968F96E-0180-4459-BD88-009EAFA8BDB3}" name="ProductID" dataDxfId="12"/>
    <tableColumn id="2" xr3:uid="{8E3135BF-7638-4BEE-90F9-46776BB4E641}" name="ProductName" dataDxfId="11"/>
    <tableColumn id="3" xr3:uid="{F14CC48E-861E-482B-BE33-AE469B002AC3}" name="Category" dataDxfId="10"/>
    <tableColumn id="4" xr3:uid="{6689CD58-7C9F-42D8-8B3A-6006A35076BB}" name="UnitPrice"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A15AFC-7D68-4227-A574-31767CA0DFB9}" name="Table3" displayName="Table3" ref="A1:E121" totalsRowShown="0" headerRowDxfId="8" dataDxfId="6" headerRowBorderDxfId="7" tableBorderDxfId="5">
  <autoFilter ref="A1:E121" xr:uid="{9AA15AFC-7D68-4227-A574-31767CA0DFB9}"/>
  <tableColumns count="5">
    <tableColumn id="1" xr3:uid="{14A28A8C-348E-445E-AE8C-0A03FC656637}" name="CustomerID" dataDxfId="4"/>
    <tableColumn id="2" xr3:uid="{385E59F5-1E7F-4177-9245-B2003F34C288}" name="CustomerName" dataDxfId="3"/>
    <tableColumn id="3" xr3:uid="{097B5159-DB3A-4F58-841E-4E13208C8389}" name="Email" dataDxfId="2"/>
    <tableColumn id="4" xr3:uid="{FF25AC51-4D3D-4418-B891-02CC9DA45B13}" name="Country" dataDxfId="1"/>
    <tableColumn id="5" xr3:uid="{9B939D88-DA18-49DD-84FE-82FDFF43728E}" name="Signup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AED9D-7299-48FA-8838-6E6F392CC0EF}">
  <dimension ref="A3:I19"/>
  <sheetViews>
    <sheetView workbookViewId="0">
      <selection activeCell="I7" sqref="I7"/>
    </sheetView>
  </sheetViews>
  <sheetFormatPr defaultRowHeight="15" x14ac:dyDescent="0.25"/>
  <cols>
    <col min="1" max="1" width="11.28515625" bestFit="1" customWidth="1"/>
    <col min="2" max="2" width="15.85546875" bestFit="1" customWidth="1"/>
    <col min="3" max="3" width="8.42578125" bestFit="1" customWidth="1"/>
    <col min="4" max="4" width="15.140625" bestFit="1" customWidth="1"/>
    <col min="5" max="5" width="15.85546875" bestFit="1" customWidth="1"/>
    <col min="6" max="6" width="8.42578125" bestFit="1" customWidth="1"/>
    <col min="7" max="7" width="19.85546875" bestFit="1" customWidth="1"/>
    <col min="8" max="8" width="15.5703125" bestFit="1" customWidth="1"/>
    <col min="9" max="9" width="19.85546875" bestFit="1" customWidth="1"/>
    <col min="10" max="23" width="9.42578125" bestFit="1" customWidth="1"/>
    <col min="24" max="31" width="8.42578125" bestFit="1" customWidth="1"/>
    <col min="32" max="48" width="9.42578125" bestFit="1" customWidth="1"/>
    <col min="49" max="56" width="8.42578125" bestFit="1" customWidth="1"/>
    <col min="57" max="78" width="9.42578125" bestFit="1" customWidth="1"/>
    <col min="79" max="84" width="8.42578125" bestFit="1" customWidth="1"/>
    <col min="85" max="104" width="9.42578125" bestFit="1" customWidth="1"/>
    <col min="105" max="111" width="8.42578125" bestFit="1" customWidth="1"/>
    <col min="112" max="129" width="9.42578125" bestFit="1" customWidth="1"/>
    <col min="130" max="138" width="8.42578125" bestFit="1" customWidth="1"/>
    <col min="139" max="158" width="9.42578125" bestFit="1" customWidth="1"/>
    <col min="159" max="159" width="7.28515625" bestFit="1" customWidth="1"/>
    <col min="160" max="160" width="11.28515625" bestFit="1" customWidth="1"/>
  </cols>
  <sheetData>
    <row r="3" spans="1:9" x14ac:dyDescent="0.25">
      <c r="A3" s="7" t="s">
        <v>522</v>
      </c>
      <c r="B3" t="s">
        <v>823</v>
      </c>
      <c r="D3" s="7" t="s">
        <v>571</v>
      </c>
      <c r="E3" t="s">
        <v>823</v>
      </c>
      <c r="G3" s="7" t="s">
        <v>825</v>
      </c>
      <c r="H3" t="s">
        <v>823</v>
      </c>
      <c r="I3" t="s">
        <v>834</v>
      </c>
    </row>
    <row r="4" spans="1:9" x14ac:dyDescent="0.25">
      <c r="A4" s="8" t="s">
        <v>535</v>
      </c>
      <c r="B4" s="6">
        <v>49960.629999999976</v>
      </c>
      <c r="D4" s="8" t="s">
        <v>597</v>
      </c>
      <c r="E4" s="6">
        <v>57774.679999999978</v>
      </c>
      <c r="G4" s="8" t="s">
        <v>125</v>
      </c>
      <c r="H4" s="6">
        <v>2166.3999999999996</v>
      </c>
      <c r="I4" t="s">
        <v>835</v>
      </c>
    </row>
    <row r="5" spans="1:9" x14ac:dyDescent="0.25">
      <c r="A5" s="8" t="s">
        <v>530</v>
      </c>
      <c r="B5" s="6">
        <v>37792.22</v>
      </c>
      <c r="D5" s="8" t="s">
        <v>575</v>
      </c>
      <c r="E5" s="6">
        <v>51405.479999999996</v>
      </c>
      <c r="G5" s="8" t="s">
        <v>161</v>
      </c>
      <c r="H5" s="6">
        <v>2261</v>
      </c>
      <c r="I5" t="s">
        <v>837</v>
      </c>
    </row>
    <row r="6" spans="1:9" x14ac:dyDescent="0.25">
      <c r="A6" s="8" t="s">
        <v>525</v>
      </c>
      <c r="B6" s="6">
        <v>74267.189999999973</v>
      </c>
      <c r="D6" s="8" t="s">
        <v>580</v>
      </c>
      <c r="E6" s="6">
        <v>86879.589999999982</v>
      </c>
      <c r="G6" s="8" t="s">
        <v>308</v>
      </c>
      <c r="H6" s="6">
        <v>2166.3999999999996</v>
      </c>
      <c r="I6" t="s">
        <v>836</v>
      </c>
    </row>
    <row r="7" spans="1:9" x14ac:dyDescent="0.25">
      <c r="A7" s="8" t="s">
        <v>528</v>
      </c>
      <c r="B7" s="6">
        <v>42451.150000000009</v>
      </c>
      <c r="D7" s="8" t="s">
        <v>590</v>
      </c>
      <c r="E7" s="6">
        <v>53254.900000000009</v>
      </c>
      <c r="G7" s="8" t="s">
        <v>345</v>
      </c>
      <c r="H7" s="6">
        <v>2261</v>
      </c>
      <c r="I7" t="s">
        <v>838</v>
      </c>
    </row>
    <row r="8" spans="1:9" x14ac:dyDescent="0.25">
      <c r="A8" s="8" t="s">
        <v>532</v>
      </c>
      <c r="B8" s="6">
        <v>44843.459999999977</v>
      </c>
      <c r="D8" s="8" t="s">
        <v>824</v>
      </c>
      <c r="E8" s="6">
        <v>249314.65000000014</v>
      </c>
      <c r="G8" s="8" t="s">
        <v>520</v>
      </c>
      <c r="H8" s="6">
        <v>2261</v>
      </c>
    </row>
    <row r="9" spans="1:9" x14ac:dyDescent="0.25">
      <c r="A9" s="8" t="s">
        <v>824</v>
      </c>
      <c r="B9" s="6">
        <v>249314.65000000014</v>
      </c>
      <c r="G9" s="8" t="s">
        <v>824</v>
      </c>
      <c r="H9" s="6">
        <v>11115.8</v>
      </c>
    </row>
    <row r="12" spans="1:9" x14ac:dyDescent="0.25">
      <c r="A12" s="7" t="s">
        <v>825</v>
      </c>
      <c r="B12" t="s">
        <v>823</v>
      </c>
      <c r="D12" s="7" t="s">
        <v>521</v>
      </c>
      <c r="E12" t="s">
        <v>832</v>
      </c>
      <c r="G12" t="s">
        <v>832</v>
      </c>
      <c r="H12" t="s">
        <v>833</v>
      </c>
    </row>
    <row r="13" spans="1:9" x14ac:dyDescent="0.25">
      <c r="A13" s="8" t="s">
        <v>826</v>
      </c>
      <c r="B13" s="6">
        <v>38121.719999999994</v>
      </c>
      <c r="D13" s="8" t="s">
        <v>538</v>
      </c>
      <c r="E13" s="6">
        <v>14731.52</v>
      </c>
      <c r="G13" s="6">
        <v>249314.65</v>
      </c>
      <c r="H13" s="6">
        <v>1080</v>
      </c>
    </row>
    <row r="14" spans="1:9" x14ac:dyDescent="0.25">
      <c r="A14" s="8" t="s">
        <v>827</v>
      </c>
      <c r="B14" s="6">
        <v>36272.57</v>
      </c>
      <c r="D14" s="8" t="s">
        <v>541</v>
      </c>
      <c r="E14" s="6">
        <v>14482.44</v>
      </c>
    </row>
    <row r="15" spans="1:9" x14ac:dyDescent="0.25">
      <c r="A15" s="8" t="s">
        <v>828</v>
      </c>
      <c r="B15" s="6">
        <v>52091.569999999963</v>
      </c>
      <c r="D15" s="8" t="s">
        <v>552</v>
      </c>
      <c r="E15" s="6">
        <v>19444.599999999999</v>
      </c>
    </row>
    <row r="16" spans="1:9" x14ac:dyDescent="0.25">
      <c r="A16" s="8" t="s">
        <v>829</v>
      </c>
      <c r="B16" s="6">
        <v>37290.869999999995</v>
      </c>
      <c r="D16" s="8" t="s">
        <v>527</v>
      </c>
      <c r="E16" s="6">
        <v>12836.4</v>
      </c>
    </row>
    <row r="17" spans="1:5" x14ac:dyDescent="0.25">
      <c r="A17" s="8" t="s">
        <v>830</v>
      </c>
      <c r="B17" s="6">
        <v>33711.56</v>
      </c>
      <c r="D17" s="8" t="s">
        <v>536</v>
      </c>
      <c r="E17" s="6">
        <v>11651.5</v>
      </c>
    </row>
    <row r="18" spans="1:5" x14ac:dyDescent="0.25">
      <c r="A18" s="8" t="s">
        <v>831</v>
      </c>
      <c r="B18" s="6">
        <v>51826.359999999993</v>
      </c>
      <c r="D18" s="8" t="s">
        <v>824</v>
      </c>
      <c r="E18" s="6">
        <v>73146.460000000006</v>
      </c>
    </row>
    <row r="19" spans="1:5" x14ac:dyDescent="0.25">
      <c r="A19" s="8" t="s">
        <v>824</v>
      </c>
      <c r="B19" s="6">
        <v>249314.65000000014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C0DE8-4DB4-4758-BA8A-495B24EB3C2F}">
  <dimension ref="A1:A2"/>
  <sheetViews>
    <sheetView showGridLines="0" tabSelected="1" workbookViewId="0">
      <selection activeCell="E1" sqref="E1"/>
    </sheetView>
  </sheetViews>
  <sheetFormatPr defaultRowHeight="15" x14ac:dyDescent="0.25"/>
  <sheetData>
    <row r="1" spans="1:1" x14ac:dyDescent="0.25">
      <c r="A1" t="s">
        <v>839</v>
      </c>
    </row>
    <row r="2" spans="1:1" x14ac:dyDescent="0.25">
      <c r="A2" t="s">
        <v>840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AC909-E9CD-41BA-A6CC-A8B6EE58C99D}">
  <dimension ref="A1:J366"/>
  <sheetViews>
    <sheetView topLeftCell="A23" workbookViewId="0">
      <selection activeCell="J1" sqref="J1:J1048576"/>
    </sheetView>
  </sheetViews>
  <sheetFormatPr defaultRowHeight="15" x14ac:dyDescent="0.25"/>
  <cols>
    <col min="1" max="1" width="10.140625" customWidth="1"/>
    <col min="2" max="2" width="12.42578125" customWidth="1"/>
    <col min="3" max="3" width="13.5703125" customWidth="1"/>
    <col min="4" max="4" width="11.85546875" customWidth="1"/>
    <col min="5" max="5" width="10.85546875" customWidth="1"/>
    <col min="6" max="6" width="14.85546875" style="11" customWidth="1"/>
    <col min="7" max="7" width="9.85546875" customWidth="1"/>
    <col min="9" max="9" width="16.140625" customWidth="1"/>
    <col min="10" max="10" width="11.85546875" style="14" customWidth="1"/>
  </cols>
  <sheetData>
    <row r="1" spans="1:10" x14ac:dyDescent="0.25">
      <c r="A1" s="1" t="s">
        <v>0</v>
      </c>
      <c r="B1" s="1" t="s">
        <v>1</v>
      </c>
      <c r="C1" s="1" t="s">
        <v>2</v>
      </c>
      <c r="D1" s="1" t="s">
        <v>3</v>
      </c>
      <c r="E1" s="1" t="s">
        <v>4</v>
      </c>
      <c r="F1" s="9" t="s">
        <v>5</v>
      </c>
      <c r="G1" s="1" t="s">
        <v>522</v>
      </c>
      <c r="H1" s="1" t="s">
        <v>523</v>
      </c>
      <c r="I1" s="1" t="s">
        <v>571</v>
      </c>
      <c r="J1" s="12" t="s">
        <v>822</v>
      </c>
    </row>
    <row r="2" spans="1:10" x14ac:dyDescent="0.25">
      <c r="A2" s="2" t="s">
        <v>6</v>
      </c>
      <c r="B2" s="3">
        <v>45302</v>
      </c>
      <c r="C2" s="2" t="s">
        <v>7</v>
      </c>
      <c r="D2" s="2" t="s">
        <v>8</v>
      </c>
      <c r="E2" s="2">
        <v>5</v>
      </c>
      <c r="F2" s="10">
        <v>2098.25</v>
      </c>
      <c r="G2" s="2" t="str">
        <f>_xlfn.XLOOKUP($D$1:$D$361,Products!$A$1:$A$41,Products!$C$1:$C$41)</f>
        <v>Sports</v>
      </c>
      <c r="H2" s="2">
        <f>_xlfn.XLOOKUP(Sales!D:D,Products!A:A,Products!D:D)</f>
        <v>419.65</v>
      </c>
      <c r="I2" s="2" t="str">
        <f>_xlfn.XLOOKUP(Table1[[#This Row],[CustomerID]],Customer_info!A:A,Customer_info!D:D)</f>
        <v>Canada</v>
      </c>
      <c r="J2" s="13">
        <f>Table1[[#This Row],[Quantity]]*Table1[[#This Row],[UnitPrice]]</f>
        <v>2098.25</v>
      </c>
    </row>
    <row r="3" spans="1:10" x14ac:dyDescent="0.25">
      <c r="A3" s="2" t="s">
        <v>9</v>
      </c>
      <c r="B3" s="3">
        <v>45312</v>
      </c>
      <c r="C3" s="2" t="s">
        <v>10</v>
      </c>
      <c r="D3" s="2" t="s">
        <v>11</v>
      </c>
      <c r="E3" s="2">
        <v>5</v>
      </c>
      <c r="F3" s="10">
        <v>199.35</v>
      </c>
      <c r="G3" s="2" t="str">
        <f>_xlfn.XLOOKUP($D$1:$D$361,Products!$A$1:$A$41,Products!$C$1:$C$41)</f>
        <v>Sports</v>
      </c>
      <c r="H3" s="2">
        <f>_xlfn.XLOOKUP(Sales!D:D,Products!A:A,Products!D:D)</f>
        <v>39.869999999999997</v>
      </c>
      <c r="I3" s="2" t="str">
        <f>_xlfn.XLOOKUP(Table1[[#This Row],[CustomerID]],Customer_info!A:A,Customer_info!D:D)</f>
        <v>India</v>
      </c>
      <c r="J3" s="13">
        <f>Table1[[#This Row],[Quantity]]*Table1[[#This Row],[UnitPrice]]</f>
        <v>199.35</v>
      </c>
    </row>
    <row r="4" spans="1:10" x14ac:dyDescent="0.25">
      <c r="A4" s="2" t="s">
        <v>12</v>
      </c>
      <c r="B4" s="3">
        <v>45460</v>
      </c>
      <c r="C4" s="2" t="s">
        <v>13</v>
      </c>
      <c r="D4" s="2" t="s">
        <v>14</v>
      </c>
      <c r="E4" s="2">
        <v>4</v>
      </c>
      <c r="F4" s="10">
        <v>946.76</v>
      </c>
      <c r="G4" s="2" t="str">
        <f>_xlfn.XLOOKUP($D$1:$D$361,Products!$A$1:$A$41,Products!$C$1:$C$41)</f>
        <v>Home</v>
      </c>
      <c r="H4" s="2">
        <f>_xlfn.XLOOKUP(Sales!D:D,Products!A:A,Products!D:D)</f>
        <v>236.69</v>
      </c>
      <c r="I4" s="2" t="str">
        <f>_xlfn.XLOOKUP(Table1[[#This Row],[CustomerID]],Customer_info!A:A,Customer_info!D:D)</f>
        <v>Canada</v>
      </c>
      <c r="J4" s="13">
        <f>Table1[[#This Row],[Quantity]]*Table1[[#This Row],[UnitPrice]]</f>
        <v>946.76</v>
      </c>
    </row>
    <row r="5" spans="1:10" x14ac:dyDescent="0.25">
      <c r="A5" s="2" t="s">
        <v>15</v>
      </c>
      <c r="B5" s="3">
        <v>45436</v>
      </c>
      <c r="C5" s="2" t="s">
        <v>16</v>
      </c>
      <c r="D5" s="2" t="s">
        <v>17</v>
      </c>
      <c r="E5" s="2">
        <v>5</v>
      </c>
      <c r="F5" s="10">
        <v>1972.3</v>
      </c>
      <c r="G5" s="2" t="str">
        <f>_xlfn.XLOOKUP($D$1:$D$361,Products!$A$1:$A$41,Products!$C$1:$C$41)</f>
        <v>Clothing</v>
      </c>
      <c r="H5" s="2">
        <f>_xlfn.XLOOKUP(Sales!D:D,Products!A:A,Products!D:D)</f>
        <v>394.46</v>
      </c>
      <c r="I5" s="2" t="str">
        <f>_xlfn.XLOOKUP(Table1[[#This Row],[CustomerID]],Customer_info!A:A,Customer_info!D:D)</f>
        <v>Canada</v>
      </c>
      <c r="J5" s="13">
        <f>Table1[[#This Row],[Quantity]]*Table1[[#This Row],[UnitPrice]]</f>
        <v>1972.3</v>
      </c>
    </row>
    <row r="6" spans="1:10" x14ac:dyDescent="0.25">
      <c r="A6" s="2" t="s">
        <v>18</v>
      </c>
      <c r="B6" s="3">
        <v>45372</v>
      </c>
      <c r="C6" s="2" t="s">
        <v>19</v>
      </c>
      <c r="D6" s="2" t="s">
        <v>20</v>
      </c>
      <c r="E6" s="2">
        <v>5</v>
      </c>
      <c r="F6" s="10">
        <v>1039.25</v>
      </c>
      <c r="G6" s="2" t="str">
        <f>_xlfn.XLOOKUP($D$1:$D$361,Products!$A$1:$A$41,Products!$C$1:$C$41)</f>
        <v>Clothing</v>
      </c>
      <c r="H6" s="2">
        <f>_xlfn.XLOOKUP(Sales!D:D,Products!A:A,Products!D:D)</f>
        <v>207.85</v>
      </c>
      <c r="I6" s="2" t="str">
        <f>_xlfn.XLOOKUP(Table1[[#This Row],[CustomerID]],Customer_info!A:A,Customer_info!D:D)</f>
        <v>United States</v>
      </c>
      <c r="J6" s="13">
        <f>Table1[[#This Row],[Quantity]]*Table1[[#This Row],[UnitPrice]]</f>
        <v>1039.25</v>
      </c>
    </row>
    <row r="7" spans="1:10" x14ac:dyDescent="0.25">
      <c r="A7" s="2" t="s">
        <v>21</v>
      </c>
      <c r="B7" s="3">
        <v>45344</v>
      </c>
      <c r="C7" s="2" t="s">
        <v>22</v>
      </c>
      <c r="D7" s="2" t="s">
        <v>23</v>
      </c>
      <c r="E7" s="2">
        <v>3</v>
      </c>
      <c r="F7" s="10">
        <v>309.89999999999998</v>
      </c>
      <c r="G7" s="2" t="str">
        <f>_xlfn.XLOOKUP($D$1:$D$361,Products!$A$1:$A$41,Products!$C$1:$C$41)</f>
        <v>Beauty</v>
      </c>
      <c r="H7" s="2">
        <f>_xlfn.XLOOKUP(Sales!D:D,Products!A:A,Products!D:D)</f>
        <v>103.3</v>
      </c>
      <c r="I7" s="2" t="str">
        <f>_xlfn.XLOOKUP(Table1[[#This Row],[CustomerID]],Customer_info!A:A,Customer_info!D:D)</f>
        <v>United States</v>
      </c>
      <c r="J7" s="13">
        <f>Table1[[#This Row],[Quantity]]*Table1[[#This Row],[UnitPrice]]</f>
        <v>309.89999999999998</v>
      </c>
    </row>
    <row r="8" spans="1:10" x14ac:dyDescent="0.25">
      <c r="A8" s="2" t="s">
        <v>24</v>
      </c>
      <c r="B8" s="3">
        <v>45353</v>
      </c>
      <c r="C8" s="2" t="s">
        <v>25</v>
      </c>
      <c r="D8" s="2" t="s">
        <v>26</v>
      </c>
      <c r="E8" s="2">
        <v>3</v>
      </c>
      <c r="F8" s="10">
        <v>449.31</v>
      </c>
      <c r="G8" s="2" t="str">
        <f>_xlfn.XLOOKUP($D$1:$D$361,Products!$A$1:$A$41,Products!$C$1:$C$41)</f>
        <v>Beauty</v>
      </c>
      <c r="H8" s="2">
        <f>_xlfn.XLOOKUP(Sales!D:D,Products!A:A,Products!D:D)</f>
        <v>149.77000000000001</v>
      </c>
      <c r="I8" s="2" t="str">
        <f>_xlfn.XLOOKUP(Table1[[#This Row],[CustomerID]],Customer_info!A:A,Customer_info!D:D)</f>
        <v>United Kingdom</v>
      </c>
      <c r="J8" s="13">
        <f>Table1[[#This Row],[Quantity]]*Table1[[#This Row],[UnitPrice]]</f>
        <v>449.31000000000006</v>
      </c>
    </row>
    <row r="9" spans="1:10" x14ac:dyDescent="0.25">
      <c r="A9" s="2" t="s">
        <v>27</v>
      </c>
      <c r="B9" s="3">
        <v>45393</v>
      </c>
      <c r="C9" s="2" t="s">
        <v>7</v>
      </c>
      <c r="D9" s="2" t="s">
        <v>28</v>
      </c>
      <c r="E9" s="2">
        <v>3</v>
      </c>
      <c r="F9" s="10">
        <v>1356.6</v>
      </c>
      <c r="G9" s="2" t="str">
        <f>_xlfn.XLOOKUP($D$1:$D$361,Products!$A$1:$A$41,Products!$C$1:$C$41)</f>
        <v>Beauty</v>
      </c>
      <c r="H9" s="2">
        <f>_xlfn.XLOOKUP(Sales!D:D,Products!A:A,Products!D:D)</f>
        <v>452.2</v>
      </c>
      <c r="I9" s="2" t="str">
        <f>_xlfn.XLOOKUP(Table1[[#This Row],[CustomerID]],Customer_info!A:A,Customer_info!D:D)</f>
        <v>Canada</v>
      </c>
      <c r="J9" s="13">
        <f>Table1[[#This Row],[Quantity]]*Table1[[#This Row],[UnitPrice]]</f>
        <v>1356.6</v>
      </c>
    </row>
    <row r="10" spans="1:10" x14ac:dyDescent="0.25">
      <c r="A10" s="2" t="s">
        <v>29</v>
      </c>
      <c r="B10" s="3">
        <v>45463</v>
      </c>
      <c r="C10" s="2" t="s">
        <v>30</v>
      </c>
      <c r="D10" s="2" t="s">
        <v>28</v>
      </c>
      <c r="E10" s="2">
        <v>2</v>
      </c>
      <c r="F10" s="10">
        <v>904.4</v>
      </c>
      <c r="G10" s="2" t="str">
        <f>_xlfn.XLOOKUP($D$1:$D$361,Products!$A$1:$A$41,Products!$C$1:$C$41)</f>
        <v>Beauty</v>
      </c>
      <c r="H10" s="2">
        <f>_xlfn.XLOOKUP(Sales!D:D,Products!A:A,Products!D:D)</f>
        <v>452.2</v>
      </c>
      <c r="I10" s="2" t="str">
        <f>_xlfn.XLOOKUP(Table1[[#This Row],[CustomerID]],Customer_info!A:A,Customer_info!D:D)</f>
        <v>United Kingdom</v>
      </c>
      <c r="J10" s="13">
        <f>Table1[[#This Row],[Quantity]]*Table1[[#This Row],[UnitPrice]]</f>
        <v>904.4</v>
      </c>
    </row>
    <row r="11" spans="1:10" x14ac:dyDescent="0.25">
      <c r="A11" s="2" t="s">
        <v>31</v>
      </c>
      <c r="B11" s="3">
        <v>45409</v>
      </c>
      <c r="C11" s="2" t="s">
        <v>32</v>
      </c>
      <c r="D11" s="2" t="s">
        <v>17</v>
      </c>
      <c r="E11" s="2">
        <v>3</v>
      </c>
      <c r="F11" s="10">
        <v>1183.3800000000001</v>
      </c>
      <c r="G11" s="2" t="str">
        <f>_xlfn.XLOOKUP($D$1:$D$361,Products!$A$1:$A$41,Products!$C$1:$C$41)</f>
        <v>Clothing</v>
      </c>
      <c r="H11" s="2">
        <f>_xlfn.XLOOKUP(Sales!D:D,Products!A:A,Products!D:D)</f>
        <v>394.46</v>
      </c>
      <c r="I11" s="2" t="str">
        <f>_xlfn.XLOOKUP(Table1[[#This Row],[CustomerID]],Customer_info!A:A,Customer_info!D:D)</f>
        <v>United Kingdom</v>
      </c>
      <c r="J11" s="13">
        <f>Table1[[#This Row],[Quantity]]*Table1[[#This Row],[UnitPrice]]</f>
        <v>1183.3799999999999</v>
      </c>
    </row>
    <row r="12" spans="1:10" x14ac:dyDescent="0.25">
      <c r="A12" s="2" t="s">
        <v>33</v>
      </c>
      <c r="B12" s="3">
        <v>45310</v>
      </c>
      <c r="C12" s="2" t="s">
        <v>34</v>
      </c>
      <c r="D12" s="2" t="s">
        <v>35</v>
      </c>
      <c r="E12" s="2">
        <v>3</v>
      </c>
      <c r="F12" s="10">
        <v>877.02</v>
      </c>
      <c r="G12" s="2" t="str">
        <f>_xlfn.XLOOKUP($D$1:$D$361,Products!$A$1:$A$41,Products!$C$1:$C$41)</f>
        <v>Sports</v>
      </c>
      <c r="H12" s="2">
        <f>_xlfn.XLOOKUP(Sales!D:D,Products!A:A,Products!D:D)</f>
        <v>292.33999999999997</v>
      </c>
      <c r="I12" s="2" t="str">
        <f>_xlfn.XLOOKUP(Table1[[#This Row],[CustomerID]],Customer_info!A:A,Customer_info!D:D)</f>
        <v>United States</v>
      </c>
      <c r="J12" s="13">
        <f>Table1[[#This Row],[Quantity]]*Table1[[#This Row],[UnitPrice]]</f>
        <v>877.02</v>
      </c>
    </row>
    <row r="13" spans="1:10" x14ac:dyDescent="0.25">
      <c r="A13" s="2" t="s">
        <v>36</v>
      </c>
      <c r="B13" s="3">
        <v>45409</v>
      </c>
      <c r="C13" s="2" t="s">
        <v>37</v>
      </c>
      <c r="D13" s="2" t="s">
        <v>38</v>
      </c>
      <c r="E13" s="2">
        <v>1</v>
      </c>
      <c r="F13" s="10">
        <v>334.32</v>
      </c>
      <c r="G13" s="2" t="str">
        <f>_xlfn.XLOOKUP($D$1:$D$361,Products!$A$1:$A$41,Products!$C$1:$C$41)</f>
        <v>Sports</v>
      </c>
      <c r="H13" s="2">
        <f>_xlfn.XLOOKUP(Sales!D:D,Products!A:A,Products!D:D)</f>
        <v>334.32</v>
      </c>
      <c r="I13" s="2" t="str">
        <f>_xlfn.XLOOKUP(Table1[[#This Row],[CustomerID]],Customer_info!A:A,Customer_info!D:D)</f>
        <v>United States</v>
      </c>
      <c r="J13" s="13">
        <f>Table1[[#This Row],[Quantity]]*Table1[[#This Row],[UnitPrice]]</f>
        <v>334.32</v>
      </c>
    </row>
    <row r="14" spans="1:10" x14ac:dyDescent="0.25">
      <c r="A14" s="2" t="s">
        <v>39</v>
      </c>
      <c r="B14" s="3">
        <v>45436</v>
      </c>
      <c r="C14" s="2" t="s">
        <v>40</v>
      </c>
      <c r="D14" s="2" t="s">
        <v>41</v>
      </c>
      <c r="E14" s="2">
        <v>5</v>
      </c>
      <c r="F14" s="10">
        <v>190.05</v>
      </c>
      <c r="G14" s="2" t="str">
        <f>_xlfn.XLOOKUP($D$1:$D$361,Products!$A$1:$A$41,Products!$C$1:$C$41)</f>
        <v>Home</v>
      </c>
      <c r="H14" s="2">
        <f>_xlfn.XLOOKUP(Sales!D:D,Products!A:A,Products!D:D)</f>
        <v>38.01</v>
      </c>
      <c r="I14" s="2" t="str">
        <f>_xlfn.XLOOKUP(Table1[[#This Row],[CustomerID]],Customer_info!A:A,Customer_info!D:D)</f>
        <v>United Kingdom</v>
      </c>
      <c r="J14" s="13">
        <f>Table1[[#This Row],[Quantity]]*Table1[[#This Row],[UnitPrice]]</f>
        <v>190.04999999999998</v>
      </c>
    </row>
    <row r="15" spans="1:10" x14ac:dyDescent="0.25">
      <c r="A15" s="2" t="s">
        <v>42</v>
      </c>
      <c r="B15" s="3">
        <v>45310</v>
      </c>
      <c r="C15" s="2" t="s">
        <v>43</v>
      </c>
      <c r="D15" s="2" t="s">
        <v>44</v>
      </c>
      <c r="E15" s="2">
        <v>1</v>
      </c>
      <c r="F15" s="10">
        <v>272.77999999999997</v>
      </c>
      <c r="G15" s="2" t="str">
        <f>_xlfn.XLOOKUP($D$1:$D$361,Products!$A$1:$A$41,Products!$C$1:$C$41)</f>
        <v>Clothing</v>
      </c>
      <c r="H15" s="2">
        <f>_xlfn.XLOOKUP(Sales!D:D,Products!A:A,Products!D:D)</f>
        <v>272.77999999999997</v>
      </c>
      <c r="I15" s="2" t="str">
        <f>_xlfn.XLOOKUP(Table1[[#This Row],[CustomerID]],Customer_info!A:A,Customer_info!D:D)</f>
        <v>United States</v>
      </c>
      <c r="J15" s="13">
        <f>Table1[[#This Row],[Quantity]]*Table1[[#This Row],[UnitPrice]]</f>
        <v>272.77999999999997</v>
      </c>
    </row>
    <row r="16" spans="1:10" x14ac:dyDescent="0.25">
      <c r="A16" s="2" t="s">
        <v>45</v>
      </c>
      <c r="B16" s="3">
        <v>45346</v>
      </c>
      <c r="C16" s="2" t="s">
        <v>46</v>
      </c>
      <c r="D16" s="2" t="s">
        <v>14</v>
      </c>
      <c r="E16" s="2">
        <v>5</v>
      </c>
      <c r="F16" s="10">
        <v>1183.45</v>
      </c>
      <c r="G16" s="2" t="str">
        <f>_xlfn.XLOOKUP($D$1:$D$361,Products!$A$1:$A$41,Products!$C$1:$C$41)</f>
        <v>Home</v>
      </c>
      <c r="H16" s="2">
        <f>_xlfn.XLOOKUP(Sales!D:D,Products!A:A,Products!D:D)</f>
        <v>236.69</v>
      </c>
      <c r="I16" s="2" t="str">
        <f>_xlfn.XLOOKUP(Table1[[#This Row],[CustomerID]],Customer_info!A:A,Customer_info!D:D)</f>
        <v>United Kingdom</v>
      </c>
      <c r="J16" s="13">
        <f>Table1[[#This Row],[Quantity]]*Table1[[#This Row],[UnitPrice]]</f>
        <v>1183.45</v>
      </c>
    </row>
    <row r="17" spans="1:10" x14ac:dyDescent="0.25">
      <c r="A17" s="2" t="s">
        <v>47</v>
      </c>
      <c r="B17" s="3">
        <v>45359</v>
      </c>
      <c r="C17" s="2" t="s">
        <v>48</v>
      </c>
      <c r="D17" s="2" t="s">
        <v>49</v>
      </c>
      <c r="E17" s="2">
        <v>5</v>
      </c>
      <c r="F17" s="10">
        <v>1469</v>
      </c>
      <c r="G17" s="2" t="str">
        <f>_xlfn.XLOOKUP($D$1:$D$361,Products!$A$1:$A$41,Products!$C$1:$C$41)</f>
        <v>Electronics</v>
      </c>
      <c r="H17" s="2">
        <f>_xlfn.XLOOKUP(Sales!D:D,Products!A:A,Products!D:D)</f>
        <v>293.8</v>
      </c>
      <c r="I17" s="2" t="str">
        <f>_xlfn.XLOOKUP(Table1[[#This Row],[CustomerID]],Customer_info!A:A,Customer_info!D:D)</f>
        <v>Canada</v>
      </c>
      <c r="J17" s="13">
        <f>Table1[[#This Row],[Quantity]]*Table1[[#This Row],[UnitPrice]]</f>
        <v>1469</v>
      </c>
    </row>
    <row r="18" spans="1:10" x14ac:dyDescent="0.25">
      <c r="A18" s="2" t="s">
        <v>50</v>
      </c>
      <c r="B18" s="3">
        <v>45381</v>
      </c>
      <c r="C18" s="2" t="s">
        <v>51</v>
      </c>
      <c r="D18" s="2" t="s">
        <v>52</v>
      </c>
      <c r="E18" s="2">
        <v>2</v>
      </c>
      <c r="F18" s="10">
        <v>171.7</v>
      </c>
      <c r="G18" s="2" t="str">
        <f>_xlfn.XLOOKUP($D$1:$D$361,Products!$A$1:$A$41,Products!$C$1:$C$41)</f>
        <v>Beauty</v>
      </c>
      <c r="H18" s="2">
        <f>_xlfn.XLOOKUP(Sales!D:D,Products!A:A,Products!D:D)</f>
        <v>85.85</v>
      </c>
      <c r="I18" s="2" t="str">
        <f>_xlfn.XLOOKUP(Table1[[#This Row],[CustomerID]],Customer_info!A:A,Customer_info!D:D)</f>
        <v>United States</v>
      </c>
      <c r="J18" s="13">
        <f>Table1[[#This Row],[Quantity]]*Table1[[#This Row],[UnitPrice]]</f>
        <v>171.7</v>
      </c>
    </row>
    <row r="19" spans="1:10" x14ac:dyDescent="0.25">
      <c r="A19" s="2" t="s">
        <v>53</v>
      </c>
      <c r="B19" s="3">
        <v>45354</v>
      </c>
      <c r="C19" s="2" t="s">
        <v>54</v>
      </c>
      <c r="D19" s="2" t="s">
        <v>55</v>
      </c>
      <c r="E19" s="2">
        <v>1</v>
      </c>
      <c r="F19" s="10">
        <v>130.65</v>
      </c>
      <c r="G19" s="2" t="str">
        <f>_xlfn.XLOOKUP($D$1:$D$361,Products!$A$1:$A$41,Products!$C$1:$C$41)</f>
        <v>Sports</v>
      </c>
      <c r="H19" s="2">
        <f>_xlfn.XLOOKUP(Sales!D:D,Products!A:A,Products!D:D)</f>
        <v>130.65</v>
      </c>
      <c r="I19" s="2" t="str">
        <f>_xlfn.XLOOKUP(Table1[[#This Row],[CustomerID]],Customer_info!A:A,Customer_info!D:D)</f>
        <v>India</v>
      </c>
      <c r="J19" s="13">
        <f>Table1[[#This Row],[Quantity]]*Table1[[#This Row],[UnitPrice]]</f>
        <v>130.65</v>
      </c>
    </row>
    <row r="20" spans="1:10" x14ac:dyDescent="0.25">
      <c r="A20" s="2" t="s">
        <v>56</v>
      </c>
      <c r="B20" s="3">
        <v>45364</v>
      </c>
      <c r="C20" s="2" t="s">
        <v>57</v>
      </c>
      <c r="D20" s="2" t="s">
        <v>38</v>
      </c>
      <c r="E20" s="2">
        <v>3</v>
      </c>
      <c r="F20" s="10">
        <v>1002.96</v>
      </c>
      <c r="G20" s="2" t="str">
        <f>_xlfn.XLOOKUP($D$1:$D$361,Products!$A$1:$A$41,Products!$C$1:$C$41)</f>
        <v>Sports</v>
      </c>
      <c r="H20" s="2">
        <f>_xlfn.XLOOKUP(Sales!D:D,Products!A:A,Products!D:D)</f>
        <v>334.32</v>
      </c>
      <c r="I20" s="2" t="str">
        <f>_xlfn.XLOOKUP(Table1[[#This Row],[CustomerID]],Customer_info!A:A,Customer_info!D:D)</f>
        <v>United Kingdom</v>
      </c>
      <c r="J20" s="13">
        <f>Table1[[#This Row],[Quantity]]*Table1[[#This Row],[UnitPrice]]</f>
        <v>1002.96</v>
      </c>
    </row>
    <row r="21" spans="1:10" x14ac:dyDescent="0.25">
      <c r="A21" s="2" t="s">
        <v>58</v>
      </c>
      <c r="B21" s="3">
        <v>45404</v>
      </c>
      <c r="C21" s="2" t="s">
        <v>30</v>
      </c>
      <c r="D21" s="2" t="s">
        <v>8</v>
      </c>
      <c r="E21" s="2">
        <v>2</v>
      </c>
      <c r="F21" s="10">
        <v>839.3</v>
      </c>
      <c r="G21" s="2" t="str">
        <f>_xlfn.XLOOKUP($D$1:$D$361,Products!$A$1:$A$41,Products!$C$1:$C$41)</f>
        <v>Sports</v>
      </c>
      <c r="H21" s="2">
        <f>_xlfn.XLOOKUP(Sales!D:D,Products!A:A,Products!D:D)</f>
        <v>419.65</v>
      </c>
      <c r="I21" s="2" t="str">
        <f>_xlfn.XLOOKUP(Table1[[#This Row],[CustomerID]],Customer_info!A:A,Customer_info!D:D)</f>
        <v>United Kingdom</v>
      </c>
      <c r="J21" s="13">
        <f>Table1[[#This Row],[Quantity]]*Table1[[#This Row],[UnitPrice]]</f>
        <v>839.3</v>
      </c>
    </row>
    <row r="22" spans="1:10" x14ac:dyDescent="0.25">
      <c r="A22" s="2" t="s">
        <v>59</v>
      </c>
      <c r="B22" s="3">
        <v>45472</v>
      </c>
      <c r="C22" s="2" t="s">
        <v>30</v>
      </c>
      <c r="D22" s="2" t="s">
        <v>60</v>
      </c>
      <c r="E22" s="2">
        <v>5</v>
      </c>
      <c r="F22" s="10">
        <v>457.45</v>
      </c>
      <c r="G22" s="2" t="str">
        <f>_xlfn.XLOOKUP($D$1:$D$361,Products!$A$1:$A$41,Products!$C$1:$C$41)</f>
        <v>Clothing</v>
      </c>
      <c r="H22" s="2">
        <f>_xlfn.XLOOKUP(Sales!D:D,Products!A:A,Products!D:D)</f>
        <v>91.49</v>
      </c>
      <c r="I22" s="2" t="str">
        <f>_xlfn.XLOOKUP(Table1[[#This Row],[CustomerID]],Customer_info!A:A,Customer_info!D:D)</f>
        <v>United Kingdom</v>
      </c>
      <c r="J22" s="13">
        <f>Table1[[#This Row],[Quantity]]*Table1[[#This Row],[UnitPrice]]</f>
        <v>457.45</v>
      </c>
    </row>
    <row r="23" spans="1:10" x14ac:dyDescent="0.25">
      <c r="A23" s="2" t="s">
        <v>61</v>
      </c>
      <c r="B23" s="3">
        <v>45448</v>
      </c>
      <c r="C23" s="2" t="s">
        <v>62</v>
      </c>
      <c r="D23" s="2" t="s">
        <v>63</v>
      </c>
      <c r="E23" s="2">
        <v>3</v>
      </c>
      <c r="F23" s="10">
        <v>173.94</v>
      </c>
      <c r="G23" s="2" t="str">
        <f>_xlfn.XLOOKUP($D$1:$D$361,Products!$A$1:$A$41,Products!$C$1:$C$41)</f>
        <v>Sports</v>
      </c>
      <c r="H23" s="2">
        <f>_xlfn.XLOOKUP(Sales!D:D,Products!A:A,Products!D:D)</f>
        <v>57.98</v>
      </c>
      <c r="I23" s="2" t="str">
        <f>_xlfn.XLOOKUP(Table1[[#This Row],[CustomerID]],Customer_info!A:A,Customer_info!D:D)</f>
        <v>Canada</v>
      </c>
      <c r="J23" s="13">
        <f>Table1[[#This Row],[Quantity]]*Table1[[#This Row],[UnitPrice]]</f>
        <v>173.94</v>
      </c>
    </row>
    <row r="24" spans="1:10" x14ac:dyDescent="0.25">
      <c r="A24" s="2" t="s">
        <v>64</v>
      </c>
      <c r="B24" s="3">
        <v>45294</v>
      </c>
      <c r="C24" s="2" t="s">
        <v>65</v>
      </c>
      <c r="D24" s="2" t="s">
        <v>60</v>
      </c>
      <c r="E24" s="2">
        <v>5</v>
      </c>
      <c r="F24" s="10">
        <v>457.45</v>
      </c>
      <c r="G24" s="2" t="str">
        <f>_xlfn.XLOOKUP($D$1:$D$361,Products!$A$1:$A$41,Products!$C$1:$C$41)</f>
        <v>Clothing</v>
      </c>
      <c r="H24" s="2">
        <f>_xlfn.XLOOKUP(Sales!D:D,Products!A:A,Products!D:D)</f>
        <v>91.49</v>
      </c>
      <c r="I24" s="2" t="str">
        <f>_xlfn.XLOOKUP(Table1[[#This Row],[CustomerID]],Customer_info!A:A,Customer_info!D:D)</f>
        <v>India</v>
      </c>
      <c r="J24" s="13">
        <f>Table1[[#This Row],[Quantity]]*Table1[[#This Row],[UnitPrice]]</f>
        <v>457.45</v>
      </c>
    </row>
    <row r="25" spans="1:10" x14ac:dyDescent="0.25">
      <c r="A25" s="2" t="s">
        <v>66</v>
      </c>
      <c r="B25" s="3">
        <v>45368</v>
      </c>
      <c r="C25" s="2" t="s">
        <v>67</v>
      </c>
      <c r="D25" s="2" t="s">
        <v>68</v>
      </c>
      <c r="E25" s="2">
        <v>5</v>
      </c>
      <c r="F25" s="10">
        <v>2011.45</v>
      </c>
      <c r="G25" s="2" t="str">
        <f>_xlfn.XLOOKUP($D$1:$D$361,Products!$A$1:$A$41,Products!$C$1:$C$41)</f>
        <v>Home</v>
      </c>
      <c r="H25" s="2">
        <f>_xlfn.XLOOKUP(Sales!D:D,Products!A:A,Products!D:D)</f>
        <v>402.29</v>
      </c>
      <c r="I25" s="2" t="str">
        <f>_xlfn.XLOOKUP(Table1[[#This Row],[CustomerID]],Customer_info!A:A,Customer_info!D:D)</f>
        <v>Canada</v>
      </c>
      <c r="J25" s="13">
        <f>Table1[[#This Row],[Quantity]]*Table1[[#This Row],[UnitPrice]]</f>
        <v>2011.45</v>
      </c>
    </row>
    <row r="26" spans="1:10" x14ac:dyDescent="0.25">
      <c r="A26" s="2" t="s">
        <v>69</v>
      </c>
      <c r="B26" s="3">
        <v>45326</v>
      </c>
      <c r="C26" s="2" t="s">
        <v>70</v>
      </c>
      <c r="D26" s="2" t="s">
        <v>11</v>
      </c>
      <c r="E26" s="2">
        <v>1</v>
      </c>
      <c r="F26" s="10">
        <v>39.869999999999997</v>
      </c>
      <c r="G26" s="2" t="str">
        <f>_xlfn.XLOOKUP($D$1:$D$361,Products!$A$1:$A$41,Products!$C$1:$C$41)</f>
        <v>Sports</v>
      </c>
      <c r="H26" s="2">
        <f>_xlfn.XLOOKUP(Sales!D:D,Products!A:A,Products!D:D)</f>
        <v>39.869999999999997</v>
      </c>
      <c r="I26" s="2" t="str">
        <f>_xlfn.XLOOKUP(Table1[[#This Row],[CustomerID]],Customer_info!A:A,Customer_info!D:D)</f>
        <v>United States</v>
      </c>
      <c r="J26" s="13">
        <f>Table1[[#This Row],[Quantity]]*Table1[[#This Row],[UnitPrice]]</f>
        <v>39.869999999999997</v>
      </c>
    </row>
    <row r="27" spans="1:10" x14ac:dyDescent="0.25">
      <c r="A27" s="2" t="s">
        <v>71</v>
      </c>
      <c r="B27" s="3">
        <v>45321</v>
      </c>
      <c r="C27" s="2" t="s">
        <v>34</v>
      </c>
      <c r="D27" s="2" t="s">
        <v>72</v>
      </c>
      <c r="E27" s="2">
        <v>3</v>
      </c>
      <c r="F27" s="10">
        <v>650.16</v>
      </c>
      <c r="G27" s="2" t="str">
        <f>_xlfn.XLOOKUP($D$1:$D$361,Products!$A$1:$A$41,Products!$C$1:$C$41)</f>
        <v>Clothing</v>
      </c>
      <c r="H27" s="2">
        <f>_xlfn.XLOOKUP(Sales!D:D,Products!A:A,Products!D:D)</f>
        <v>216.72</v>
      </c>
      <c r="I27" s="2" t="str">
        <f>_xlfn.XLOOKUP(Table1[[#This Row],[CustomerID]],Customer_info!A:A,Customer_info!D:D)</f>
        <v>United States</v>
      </c>
      <c r="J27" s="13">
        <f>Table1[[#This Row],[Quantity]]*Table1[[#This Row],[UnitPrice]]</f>
        <v>650.16</v>
      </c>
    </row>
    <row r="28" spans="1:10" x14ac:dyDescent="0.25">
      <c r="A28" s="2" t="s">
        <v>73</v>
      </c>
      <c r="B28" s="3">
        <v>45433</v>
      </c>
      <c r="C28" s="2" t="s">
        <v>74</v>
      </c>
      <c r="D28" s="2" t="s">
        <v>8</v>
      </c>
      <c r="E28" s="2">
        <v>1</v>
      </c>
      <c r="F28" s="10">
        <v>419.65</v>
      </c>
      <c r="G28" s="2" t="str">
        <f>_xlfn.XLOOKUP($D$1:$D$361,Products!$A$1:$A$41,Products!$C$1:$C$41)</f>
        <v>Sports</v>
      </c>
      <c r="H28" s="2">
        <f>_xlfn.XLOOKUP(Sales!D:D,Products!A:A,Products!D:D)</f>
        <v>419.65</v>
      </c>
      <c r="I28" s="2" t="str">
        <f>_xlfn.XLOOKUP(Table1[[#This Row],[CustomerID]],Customer_info!A:A,Customer_info!D:D)</f>
        <v>India</v>
      </c>
      <c r="J28" s="13">
        <f>Table1[[#This Row],[Quantity]]*Table1[[#This Row],[UnitPrice]]</f>
        <v>419.65</v>
      </c>
    </row>
    <row r="29" spans="1:10" x14ac:dyDescent="0.25">
      <c r="A29" s="2" t="s">
        <v>75</v>
      </c>
      <c r="B29" s="3">
        <v>45361</v>
      </c>
      <c r="C29" s="2" t="s">
        <v>76</v>
      </c>
      <c r="D29" s="2" t="s">
        <v>11</v>
      </c>
      <c r="E29" s="2">
        <v>2</v>
      </c>
      <c r="F29" s="10">
        <v>79.739999999999995</v>
      </c>
      <c r="G29" s="2" t="str">
        <f>_xlfn.XLOOKUP($D$1:$D$361,Products!$A$1:$A$41,Products!$C$1:$C$41)</f>
        <v>Sports</v>
      </c>
      <c r="H29" s="2">
        <f>_xlfn.XLOOKUP(Sales!D:D,Products!A:A,Products!D:D)</f>
        <v>39.869999999999997</v>
      </c>
      <c r="I29" s="2" t="str">
        <f>_xlfn.XLOOKUP(Table1[[#This Row],[CustomerID]],Customer_info!A:A,Customer_info!D:D)</f>
        <v>United Kingdom</v>
      </c>
      <c r="J29" s="13">
        <f>Table1[[#This Row],[Quantity]]*Table1[[#This Row],[UnitPrice]]</f>
        <v>79.739999999999995</v>
      </c>
    </row>
    <row r="30" spans="1:10" x14ac:dyDescent="0.25">
      <c r="A30" s="2" t="s">
        <v>77</v>
      </c>
      <c r="B30" s="3">
        <v>45446</v>
      </c>
      <c r="C30" s="2" t="s">
        <v>78</v>
      </c>
      <c r="D30" s="2" t="s">
        <v>23</v>
      </c>
      <c r="E30" s="2">
        <v>3</v>
      </c>
      <c r="F30" s="10">
        <v>309.89999999999998</v>
      </c>
      <c r="G30" s="2" t="str">
        <f>_xlfn.XLOOKUP($D$1:$D$361,Products!$A$1:$A$41,Products!$C$1:$C$41)</f>
        <v>Beauty</v>
      </c>
      <c r="H30" s="2">
        <f>_xlfn.XLOOKUP(Sales!D:D,Products!A:A,Products!D:D)</f>
        <v>103.3</v>
      </c>
      <c r="I30" s="2" t="str">
        <f>_xlfn.XLOOKUP(Table1[[#This Row],[CustomerID]],Customer_info!A:A,Customer_info!D:D)</f>
        <v>United States</v>
      </c>
      <c r="J30" s="13">
        <f>Table1[[#This Row],[Quantity]]*Table1[[#This Row],[UnitPrice]]</f>
        <v>309.89999999999998</v>
      </c>
    </row>
    <row r="31" spans="1:10" x14ac:dyDescent="0.25">
      <c r="A31" s="2" t="s">
        <v>79</v>
      </c>
      <c r="B31" s="3">
        <v>45379</v>
      </c>
      <c r="C31" s="2" t="s">
        <v>80</v>
      </c>
      <c r="D31" s="2" t="s">
        <v>81</v>
      </c>
      <c r="E31" s="2">
        <v>2</v>
      </c>
      <c r="F31" s="10">
        <v>866.56</v>
      </c>
      <c r="G31" s="2" t="str">
        <f>_xlfn.XLOOKUP($D$1:$D$361,Products!$A$1:$A$41,Products!$C$1:$C$41)</f>
        <v>Beauty</v>
      </c>
      <c r="H31" s="2">
        <f>_xlfn.XLOOKUP(Sales!D:D,Products!A:A,Products!D:D)</f>
        <v>433.28</v>
      </c>
      <c r="I31" s="2" t="str">
        <f>_xlfn.XLOOKUP(Table1[[#This Row],[CustomerID]],Customer_info!A:A,Customer_info!D:D)</f>
        <v>United Kingdom</v>
      </c>
      <c r="J31" s="13">
        <f>Table1[[#This Row],[Quantity]]*Table1[[#This Row],[UnitPrice]]</f>
        <v>866.56</v>
      </c>
    </row>
    <row r="32" spans="1:10" x14ac:dyDescent="0.25">
      <c r="A32" s="2" t="s">
        <v>82</v>
      </c>
      <c r="B32" s="3">
        <v>45467</v>
      </c>
      <c r="C32" s="2" t="s">
        <v>83</v>
      </c>
      <c r="D32" s="2" t="s">
        <v>63</v>
      </c>
      <c r="E32" s="2">
        <v>2</v>
      </c>
      <c r="F32" s="10">
        <v>115.96</v>
      </c>
      <c r="G32" s="2" t="str">
        <f>_xlfn.XLOOKUP($D$1:$D$361,Products!$A$1:$A$41,Products!$C$1:$C$41)</f>
        <v>Sports</v>
      </c>
      <c r="H32" s="2">
        <f>_xlfn.XLOOKUP(Sales!D:D,Products!A:A,Products!D:D)</f>
        <v>57.98</v>
      </c>
      <c r="I32" s="2" t="str">
        <f>_xlfn.XLOOKUP(Table1[[#This Row],[CustomerID]],Customer_info!A:A,Customer_info!D:D)</f>
        <v>United Kingdom</v>
      </c>
      <c r="J32" s="13">
        <f>Table1[[#This Row],[Quantity]]*Table1[[#This Row],[UnitPrice]]</f>
        <v>115.96</v>
      </c>
    </row>
    <row r="33" spans="1:10" x14ac:dyDescent="0.25">
      <c r="A33" s="2" t="s">
        <v>84</v>
      </c>
      <c r="B33" s="3">
        <v>45421</v>
      </c>
      <c r="C33" s="2" t="s">
        <v>85</v>
      </c>
      <c r="D33" s="2" t="s">
        <v>60</v>
      </c>
      <c r="E33" s="2">
        <v>3</v>
      </c>
      <c r="F33" s="10">
        <v>274.47000000000003</v>
      </c>
      <c r="G33" s="2" t="str">
        <f>_xlfn.XLOOKUP($D$1:$D$361,Products!$A$1:$A$41,Products!$C$1:$C$41)</f>
        <v>Clothing</v>
      </c>
      <c r="H33" s="2">
        <f>_xlfn.XLOOKUP(Sales!D:D,Products!A:A,Products!D:D)</f>
        <v>91.49</v>
      </c>
      <c r="I33" s="2" t="str">
        <f>_xlfn.XLOOKUP(Table1[[#This Row],[CustomerID]],Customer_info!A:A,Customer_info!D:D)</f>
        <v>United Kingdom</v>
      </c>
      <c r="J33" s="13">
        <f>Table1[[#This Row],[Quantity]]*Table1[[#This Row],[UnitPrice]]</f>
        <v>274.46999999999997</v>
      </c>
    </row>
    <row r="34" spans="1:10" x14ac:dyDescent="0.25">
      <c r="A34" s="2" t="s">
        <v>86</v>
      </c>
      <c r="B34" s="3">
        <v>45356</v>
      </c>
      <c r="C34" s="2" t="s">
        <v>87</v>
      </c>
      <c r="D34" s="2" t="s">
        <v>41</v>
      </c>
      <c r="E34" s="2">
        <v>4</v>
      </c>
      <c r="F34" s="10">
        <v>152.04</v>
      </c>
      <c r="G34" s="2" t="str">
        <f>_xlfn.XLOOKUP($D$1:$D$361,Products!$A$1:$A$41,Products!$C$1:$C$41)</f>
        <v>Home</v>
      </c>
      <c r="H34" s="2">
        <f>_xlfn.XLOOKUP(Sales!D:D,Products!A:A,Products!D:D)</f>
        <v>38.01</v>
      </c>
      <c r="I34" s="2" t="str">
        <f>_xlfn.XLOOKUP(Table1[[#This Row],[CustomerID]],Customer_info!A:A,Customer_info!D:D)</f>
        <v>United Kingdom</v>
      </c>
      <c r="J34" s="13">
        <f>Table1[[#This Row],[Quantity]]*Table1[[#This Row],[UnitPrice]]</f>
        <v>152.04</v>
      </c>
    </row>
    <row r="35" spans="1:10" x14ac:dyDescent="0.25">
      <c r="A35" s="2" t="s">
        <v>88</v>
      </c>
      <c r="B35" s="3">
        <v>45315</v>
      </c>
      <c r="C35" s="2" t="s">
        <v>89</v>
      </c>
      <c r="D35" s="2" t="s">
        <v>38</v>
      </c>
      <c r="E35" s="2">
        <v>1</v>
      </c>
      <c r="F35" s="10">
        <v>334.32</v>
      </c>
      <c r="G35" s="2" t="str">
        <f>_xlfn.XLOOKUP($D$1:$D$361,Products!$A$1:$A$41,Products!$C$1:$C$41)</f>
        <v>Sports</v>
      </c>
      <c r="H35" s="2">
        <f>_xlfn.XLOOKUP(Sales!D:D,Products!A:A,Products!D:D)</f>
        <v>334.32</v>
      </c>
      <c r="I35" s="2" t="str">
        <f>_xlfn.XLOOKUP(Table1[[#This Row],[CustomerID]],Customer_info!A:A,Customer_info!D:D)</f>
        <v>United Kingdom</v>
      </c>
      <c r="J35" s="13">
        <f>Table1[[#This Row],[Quantity]]*Table1[[#This Row],[UnitPrice]]</f>
        <v>334.32</v>
      </c>
    </row>
    <row r="36" spans="1:10" x14ac:dyDescent="0.25">
      <c r="A36" s="2" t="s">
        <v>90</v>
      </c>
      <c r="B36" s="3">
        <v>45362</v>
      </c>
      <c r="C36" s="2" t="s">
        <v>91</v>
      </c>
      <c r="D36" s="2" t="s">
        <v>35</v>
      </c>
      <c r="E36" s="2">
        <v>4</v>
      </c>
      <c r="F36" s="10">
        <v>1169.3599999999999</v>
      </c>
      <c r="G36" s="2" t="str">
        <f>_xlfn.XLOOKUP($D$1:$D$361,Products!$A$1:$A$41,Products!$C$1:$C$41)</f>
        <v>Sports</v>
      </c>
      <c r="H36" s="2">
        <f>_xlfn.XLOOKUP(Sales!D:D,Products!A:A,Products!D:D)</f>
        <v>292.33999999999997</v>
      </c>
      <c r="I36" s="2" t="str">
        <f>_xlfn.XLOOKUP(Table1[[#This Row],[CustomerID]],Customer_info!A:A,Customer_info!D:D)</f>
        <v>Canada</v>
      </c>
      <c r="J36" s="13">
        <f>Table1[[#This Row],[Quantity]]*Table1[[#This Row],[UnitPrice]]</f>
        <v>1169.3599999999999</v>
      </c>
    </row>
    <row r="37" spans="1:10" x14ac:dyDescent="0.25">
      <c r="A37" s="2" t="s">
        <v>92</v>
      </c>
      <c r="B37" s="3">
        <v>45292</v>
      </c>
      <c r="C37" s="2" t="s">
        <v>93</v>
      </c>
      <c r="D37" s="2" t="s">
        <v>52</v>
      </c>
      <c r="E37" s="2">
        <v>1</v>
      </c>
      <c r="F37" s="10">
        <v>85.85</v>
      </c>
      <c r="G37" s="2" t="str">
        <f>_xlfn.XLOOKUP($D$1:$D$361,Products!$A$1:$A$41,Products!$C$1:$C$41)</f>
        <v>Beauty</v>
      </c>
      <c r="H37" s="2">
        <f>_xlfn.XLOOKUP(Sales!D:D,Products!A:A,Products!D:D)</f>
        <v>85.85</v>
      </c>
      <c r="I37" s="2" t="str">
        <f>_xlfn.XLOOKUP(Table1[[#This Row],[CustomerID]],Customer_info!A:A,Customer_info!D:D)</f>
        <v>United States</v>
      </c>
      <c r="J37" s="13">
        <f>Table1[[#This Row],[Quantity]]*Table1[[#This Row],[UnitPrice]]</f>
        <v>85.85</v>
      </c>
    </row>
    <row r="38" spans="1:10" x14ac:dyDescent="0.25">
      <c r="A38" s="2" t="s">
        <v>94</v>
      </c>
      <c r="B38" s="3">
        <v>45325</v>
      </c>
      <c r="C38" s="2" t="s">
        <v>95</v>
      </c>
      <c r="D38" s="2" t="s">
        <v>68</v>
      </c>
      <c r="E38" s="2">
        <v>3</v>
      </c>
      <c r="F38" s="10">
        <v>1206.8699999999999</v>
      </c>
      <c r="G38" s="2" t="str">
        <f>_xlfn.XLOOKUP($D$1:$D$361,Products!$A$1:$A$41,Products!$C$1:$C$41)</f>
        <v>Home</v>
      </c>
      <c r="H38" s="2">
        <f>_xlfn.XLOOKUP(Sales!D:D,Products!A:A,Products!D:D)</f>
        <v>402.29</v>
      </c>
      <c r="I38" s="2" t="str">
        <f>_xlfn.XLOOKUP(Table1[[#This Row],[CustomerID]],Customer_info!A:A,Customer_info!D:D)</f>
        <v>United Kingdom</v>
      </c>
      <c r="J38" s="13">
        <f>Table1[[#This Row],[Quantity]]*Table1[[#This Row],[UnitPrice]]</f>
        <v>1206.8700000000001</v>
      </c>
    </row>
    <row r="39" spans="1:10" x14ac:dyDescent="0.25">
      <c r="A39" s="2" t="s">
        <v>96</v>
      </c>
      <c r="B39" s="3">
        <v>45333</v>
      </c>
      <c r="C39" s="2" t="s">
        <v>97</v>
      </c>
      <c r="D39" s="2" t="s">
        <v>98</v>
      </c>
      <c r="E39" s="2">
        <v>3</v>
      </c>
      <c r="F39" s="10">
        <v>395.52</v>
      </c>
      <c r="G39" s="2" t="str">
        <f>_xlfn.XLOOKUP($D$1:$D$361,Products!$A$1:$A$41,Products!$C$1:$C$41)</f>
        <v>Electronics</v>
      </c>
      <c r="H39" s="2">
        <f>_xlfn.XLOOKUP(Sales!D:D,Products!A:A,Products!D:D)</f>
        <v>131.84</v>
      </c>
      <c r="I39" s="2" t="str">
        <f>_xlfn.XLOOKUP(Table1[[#This Row],[CustomerID]],Customer_info!A:A,Customer_info!D:D)</f>
        <v>United States</v>
      </c>
      <c r="J39" s="13">
        <f>Table1[[#This Row],[Quantity]]*Table1[[#This Row],[UnitPrice]]</f>
        <v>395.52</v>
      </c>
    </row>
    <row r="40" spans="1:10" x14ac:dyDescent="0.25">
      <c r="A40" s="2" t="s">
        <v>99</v>
      </c>
      <c r="B40" s="3">
        <v>45433</v>
      </c>
      <c r="C40" s="2" t="s">
        <v>57</v>
      </c>
      <c r="D40" s="2" t="s">
        <v>23</v>
      </c>
      <c r="E40" s="2">
        <v>4</v>
      </c>
      <c r="F40" s="10">
        <v>413.2</v>
      </c>
      <c r="G40" s="2" t="str">
        <f>_xlfn.XLOOKUP($D$1:$D$361,Products!$A$1:$A$41,Products!$C$1:$C$41)</f>
        <v>Beauty</v>
      </c>
      <c r="H40" s="2">
        <f>_xlfn.XLOOKUP(Sales!D:D,Products!A:A,Products!D:D)</f>
        <v>103.3</v>
      </c>
      <c r="I40" s="2" t="str">
        <f>_xlfn.XLOOKUP(Table1[[#This Row],[CustomerID]],Customer_info!A:A,Customer_info!D:D)</f>
        <v>United Kingdom</v>
      </c>
      <c r="J40" s="13">
        <f>Table1[[#This Row],[Quantity]]*Table1[[#This Row],[UnitPrice]]</f>
        <v>413.2</v>
      </c>
    </row>
    <row r="41" spans="1:10" x14ac:dyDescent="0.25">
      <c r="A41" s="2" t="s">
        <v>100</v>
      </c>
      <c r="B41" s="3">
        <v>45435</v>
      </c>
      <c r="C41" s="2" t="s">
        <v>101</v>
      </c>
      <c r="D41" s="2" t="s">
        <v>52</v>
      </c>
      <c r="E41" s="2">
        <v>4</v>
      </c>
      <c r="F41" s="10">
        <v>343.4</v>
      </c>
      <c r="G41" s="2" t="str">
        <f>_xlfn.XLOOKUP($D$1:$D$361,Products!$A$1:$A$41,Products!$C$1:$C$41)</f>
        <v>Beauty</v>
      </c>
      <c r="H41" s="2">
        <f>_xlfn.XLOOKUP(Sales!D:D,Products!A:A,Products!D:D)</f>
        <v>85.85</v>
      </c>
      <c r="I41" s="2" t="str">
        <f>_xlfn.XLOOKUP(Table1[[#This Row],[CustomerID]],Customer_info!A:A,Customer_info!D:D)</f>
        <v>United States</v>
      </c>
      <c r="J41" s="13">
        <f>Table1[[#This Row],[Quantity]]*Table1[[#This Row],[UnitPrice]]</f>
        <v>343.4</v>
      </c>
    </row>
    <row r="42" spans="1:10" x14ac:dyDescent="0.25">
      <c r="A42" s="2" t="s">
        <v>102</v>
      </c>
      <c r="B42" s="3">
        <v>45320</v>
      </c>
      <c r="C42" s="2" t="s">
        <v>80</v>
      </c>
      <c r="D42" s="2" t="s">
        <v>103</v>
      </c>
      <c r="E42" s="2">
        <v>1</v>
      </c>
      <c r="F42" s="10">
        <v>139.94999999999999</v>
      </c>
      <c r="G42" s="2" t="str">
        <f>_xlfn.XLOOKUP($D$1:$D$361,Products!$A$1:$A$41,Products!$C$1:$C$41)</f>
        <v>Beauty</v>
      </c>
      <c r="H42" s="2">
        <f>_xlfn.XLOOKUP(Sales!D:D,Products!A:A,Products!D:D)</f>
        <v>139.94999999999999</v>
      </c>
      <c r="I42" s="2" t="str">
        <f>_xlfn.XLOOKUP(Table1[[#This Row],[CustomerID]],Customer_info!A:A,Customer_info!D:D)</f>
        <v>United Kingdom</v>
      </c>
      <c r="J42" s="13">
        <f>Table1[[#This Row],[Quantity]]*Table1[[#This Row],[UnitPrice]]</f>
        <v>139.94999999999999</v>
      </c>
    </row>
    <row r="43" spans="1:10" x14ac:dyDescent="0.25">
      <c r="A43" s="2" t="s">
        <v>104</v>
      </c>
      <c r="B43" s="3">
        <v>45468</v>
      </c>
      <c r="C43" s="2" t="s">
        <v>105</v>
      </c>
      <c r="D43" s="2" t="s">
        <v>14</v>
      </c>
      <c r="E43" s="2">
        <v>1</v>
      </c>
      <c r="F43" s="10">
        <v>236.69</v>
      </c>
      <c r="G43" s="2" t="str">
        <f>_xlfn.XLOOKUP($D$1:$D$361,Products!$A$1:$A$41,Products!$C$1:$C$41)</f>
        <v>Home</v>
      </c>
      <c r="H43" s="2">
        <f>_xlfn.XLOOKUP(Sales!D:D,Products!A:A,Products!D:D)</f>
        <v>236.69</v>
      </c>
      <c r="I43" s="2" t="str">
        <f>_xlfn.XLOOKUP(Table1[[#This Row],[CustomerID]],Customer_info!A:A,Customer_info!D:D)</f>
        <v>United Kingdom</v>
      </c>
      <c r="J43" s="13">
        <f>Table1[[#This Row],[Quantity]]*Table1[[#This Row],[UnitPrice]]</f>
        <v>236.69</v>
      </c>
    </row>
    <row r="44" spans="1:10" x14ac:dyDescent="0.25">
      <c r="A44" s="2" t="s">
        <v>106</v>
      </c>
      <c r="B44" s="3">
        <v>45431</v>
      </c>
      <c r="C44" s="2" t="s">
        <v>107</v>
      </c>
      <c r="D44" s="2" t="s">
        <v>108</v>
      </c>
      <c r="E44" s="2">
        <v>2</v>
      </c>
      <c r="F44" s="10">
        <v>98.5</v>
      </c>
      <c r="G44" s="2" t="str">
        <f>_xlfn.XLOOKUP($D$1:$D$361,Products!$A$1:$A$41,Products!$C$1:$C$41)</f>
        <v>Sports</v>
      </c>
      <c r="H44" s="2">
        <f>_xlfn.XLOOKUP(Sales!D:D,Products!A:A,Products!D:D)</f>
        <v>49.25</v>
      </c>
      <c r="I44" s="2" t="str">
        <f>_xlfn.XLOOKUP(Table1[[#This Row],[CustomerID]],Customer_info!A:A,Customer_info!D:D)</f>
        <v>India</v>
      </c>
      <c r="J44" s="13">
        <f>Table1[[#This Row],[Quantity]]*Table1[[#This Row],[UnitPrice]]</f>
        <v>98.5</v>
      </c>
    </row>
    <row r="45" spans="1:10" x14ac:dyDescent="0.25">
      <c r="A45" s="2" t="s">
        <v>109</v>
      </c>
      <c r="B45" s="3">
        <v>45386</v>
      </c>
      <c r="C45" s="2" t="s">
        <v>57</v>
      </c>
      <c r="D45" s="2" t="s">
        <v>38</v>
      </c>
      <c r="E45" s="2">
        <v>1</v>
      </c>
      <c r="F45" s="10">
        <v>334.32</v>
      </c>
      <c r="G45" s="2" t="str">
        <f>_xlfn.XLOOKUP($D$1:$D$361,Products!$A$1:$A$41,Products!$C$1:$C$41)</f>
        <v>Sports</v>
      </c>
      <c r="H45" s="2">
        <f>_xlfn.XLOOKUP(Sales!D:D,Products!A:A,Products!D:D)</f>
        <v>334.32</v>
      </c>
      <c r="I45" s="2" t="str">
        <f>_xlfn.XLOOKUP(Table1[[#This Row],[CustomerID]],Customer_info!A:A,Customer_info!D:D)</f>
        <v>United Kingdom</v>
      </c>
      <c r="J45" s="13">
        <f>Table1[[#This Row],[Quantity]]*Table1[[#This Row],[UnitPrice]]</f>
        <v>334.32</v>
      </c>
    </row>
    <row r="46" spans="1:10" x14ac:dyDescent="0.25">
      <c r="A46" s="2" t="s">
        <v>110</v>
      </c>
      <c r="B46" s="3">
        <v>45433</v>
      </c>
      <c r="C46" s="2" t="s">
        <v>111</v>
      </c>
      <c r="D46" s="2" t="s">
        <v>44</v>
      </c>
      <c r="E46" s="2">
        <v>5</v>
      </c>
      <c r="F46" s="10">
        <v>1363.9</v>
      </c>
      <c r="G46" s="2" t="str">
        <f>_xlfn.XLOOKUP($D$1:$D$361,Products!$A$1:$A$41,Products!$C$1:$C$41)</f>
        <v>Clothing</v>
      </c>
      <c r="H46" s="2">
        <f>_xlfn.XLOOKUP(Sales!D:D,Products!A:A,Products!D:D)</f>
        <v>272.77999999999997</v>
      </c>
      <c r="I46" s="2" t="str">
        <f>_xlfn.XLOOKUP(Table1[[#This Row],[CustomerID]],Customer_info!A:A,Customer_info!D:D)</f>
        <v>United Kingdom</v>
      </c>
      <c r="J46" s="13">
        <f>Table1[[#This Row],[Quantity]]*Table1[[#This Row],[UnitPrice]]</f>
        <v>1363.8999999999999</v>
      </c>
    </row>
    <row r="47" spans="1:10" x14ac:dyDescent="0.25">
      <c r="A47" s="2" t="s">
        <v>112</v>
      </c>
      <c r="B47" s="3">
        <v>45402</v>
      </c>
      <c r="C47" s="2" t="s">
        <v>113</v>
      </c>
      <c r="D47" s="2" t="s">
        <v>114</v>
      </c>
      <c r="E47" s="2">
        <v>2</v>
      </c>
      <c r="F47" s="10">
        <v>454.26</v>
      </c>
      <c r="G47" s="2" t="str">
        <f>_xlfn.XLOOKUP($D$1:$D$361,Products!$A$1:$A$41,Products!$C$1:$C$41)</f>
        <v>Electronics</v>
      </c>
      <c r="H47" s="2">
        <f>_xlfn.XLOOKUP(Sales!D:D,Products!A:A,Products!D:D)</f>
        <v>227.13</v>
      </c>
      <c r="I47" s="2" t="str">
        <f>_xlfn.XLOOKUP(Table1[[#This Row],[CustomerID]],Customer_info!A:A,Customer_info!D:D)</f>
        <v>India</v>
      </c>
      <c r="J47" s="13">
        <f>Table1[[#This Row],[Quantity]]*Table1[[#This Row],[UnitPrice]]</f>
        <v>454.26</v>
      </c>
    </row>
    <row r="48" spans="1:10" x14ac:dyDescent="0.25">
      <c r="A48" s="2" t="s">
        <v>115</v>
      </c>
      <c r="B48" s="3">
        <v>45302</v>
      </c>
      <c r="C48" s="2" t="s">
        <v>116</v>
      </c>
      <c r="D48" s="2" t="s">
        <v>35</v>
      </c>
      <c r="E48" s="2">
        <v>2</v>
      </c>
      <c r="F48" s="10">
        <v>584.67999999999995</v>
      </c>
      <c r="G48" s="2" t="str">
        <f>_xlfn.XLOOKUP($D$1:$D$361,Products!$A$1:$A$41,Products!$C$1:$C$41)</f>
        <v>Sports</v>
      </c>
      <c r="H48" s="2">
        <f>_xlfn.XLOOKUP(Sales!D:D,Products!A:A,Products!D:D)</f>
        <v>292.33999999999997</v>
      </c>
      <c r="I48" s="2" t="str">
        <f>_xlfn.XLOOKUP(Table1[[#This Row],[CustomerID]],Customer_info!A:A,Customer_info!D:D)</f>
        <v>United Kingdom</v>
      </c>
      <c r="J48" s="13">
        <f>Table1[[#This Row],[Quantity]]*Table1[[#This Row],[UnitPrice]]</f>
        <v>584.67999999999995</v>
      </c>
    </row>
    <row r="49" spans="1:10" x14ac:dyDescent="0.25">
      <c r="A49" s="2" t="s">
        <v>117</v>
      </c>
      <c r="B49" s="3">
        <v>45385</v>
      </c>
      <c r="C49" s="2" t="s">
        <v>74</v>
      </c>
      <c r="D49" s="2" t="s">
        <v>60</v>
      </c>
      <c r="E49" s="2">
        <v>3</v>
      </c>
      <c r="F49" s="10">
        <v>274.47000000000003</v>
      </c>
      <c r="G49" s="2" t="str">
        <f>_xlfn.XLOOKUP($D$1:$D$361,Products!$A$1:$A$41,Products!$C$1:$C$41)</f>
        <v>Clothing</v>
      </c>
      <c r="H49" s="2">
        <f>_xlfn.XLOOKUP(Sales!D:D,Products!A:A,Products!D:D)</f>
        <v>91.49</v>
      </c>
      <c r="I49" s="2" t="str">
        <f>_xlfn.XLOOKUP(Table1[[#This Row],[CustomerID]],Customer_info!A:A,Customer_info!D:D)</f>
        <v>India</v>
      </c>
      <c r="J49" s="13">
        <f>Table1[[#This Row],[Quantity]]*Table1[[#This Row],[UnitPrice]]</f>
        <v>274.46999999999997</v>
      </c>
    </row>
    <row r="50" spans="1:10" x14ac:dyDescent="0.25">
      <c r="A50" s="2" t="s">
        <v>118</v>
      </c>
      <c r="B50" s="3">
        <v>45383</v>
      </c>
      <c r="C50" s="2" t="s">
        <v>13</v>
      </c>
      <c r="D50" s="2" t="s">
        <v>28</v>
      </c>
      <c r="E50" s="2">
        <v>1</v>
      </c>
      <c r="F50" s="10">
        <v>452.2</v>
      </c>
      <c r="G50" s="2" t="str">
        <f>_xlfn.XLOOKUP($D$1:$D$361,Products!$A$1:$A$41,Products!$C$1:$C$41)</f>
        <v>Beauty</v>
      </c>
      <c r="H50" s="2">
        <f>_xlfn.XLOOKUP(Sales!D:D,Products!A:A,Products!D:D)</f>
        <v>452.2</v>
      </c>
      <c r="I50" s="2" t="str">
        <f>_xlfn.XLOOKUP(Table1[[#This Row],[CustomerID]],Customer_info!A:A,Customer_info!D:D)</f>
        <v>Canada</v>
      </c>
      <c r="J50" s="13">
        <f>Table1[[#This Row],[Quantity]]*Table1[[#This Row],[UnitPrice]]</f>
        <v>452.2</v>
      </c>
    </row>
    <row r="51" spans="1:10" x14ac:dyDescent="0.25">
      <c r="A51" s="2" t="s">
        <v>119</v>
      </c>
      <c r="B51" s="3">
        <v>45466</v>
      </c>
      <c r="C51" s="2" t="s">
        <v>120</v>
      </c>
      <c r="D51" s="2" t="s">
        <v>49</v>
      </c>
      <c r="E51" s="2">
        <v>2</v>
      </c>
      <c r="F51" s="10">
        <v>587.6</v>
      </c>
      <c r="G51" s="2" t="str">
        <f>_xlfn.XLOOKUP($D$1:$D$361,Products!$A$1:$A$41,Products!$C$1:$C$41)</f>
        <v>Electronics</v>
      </c>
      <c r="H51" s="2">
        <f>_xlfn.XLOOKUP(Sales!D:D,Products!A:A,Products!D:D)</f>
        <v>293.8</v>
      </c>
      <c r="I51" s="2" t="str">
        <f>_xlfn.XLOOKUP(Table1[[#This Row],[CustomerID]],Customer_info!A:A,Customer_info!D:D)</f>
        <v>United Kingdom</v>
      </c>
      <c r="J51" s="13">
        <f>Table1[[#This Row],[Quantity]]*Table1[[#This Row],[UnitPrice]]</f>
        <v>587.6</v>
      </c>
    </row>
    <row r="52" spans="1:10" x14ac:dyDescent="0.25">
      <c r="A52" s="2" t="s">
        <v>121</v>
      </c>
      <c r="B52" s="3">
        <v>45462</v>
      </c>
      <c r="C52" s="2" t="s">
        <v>25</v>
      </c>
      <c r="D52" s="2" t="s">
        <v>122</v>
      </c>
      <c r="E52" s="2">
        <v>2</v>
      </c>
      <c r="F52" s="10">
        <v>174.28</v>
      </c>
      <c r="G52" s="2" t="str">
        <f>_xlfn.XLOOKUP($D$1:$D$361,Products!$A$1:$A$41,Products!$C$1:$C$41)</f>
        <v>Sports</v>
      </c>
      <c r="H52" s="2">
        <f>_xlfn.XLOOKUP(Sales!D:D,Products!A:A,Products!D:D)</f>
        <v>87.14</v>
      </c>
      <c r="I52" s="2" t="str">
        <f>_xlfn.XLOOKUP(Table1[[#This Row],[CustomerID]],Customer_info!A:A,Customer_info!D:D)</f>
        <v>United Kingdom</v>
      </c>
      <c r="J52" s="13">
        <f>Table1[[#This Row],[Quantity]]*Table1[[#This Row],[UnitPrice]]</f>
        <v>174.28</v>
      </c>
    </row>
    <row r="53" spans="1:10" x14ac:dyDescent="0.25">
      <c r="A53" s="2" t="s">
        <v>123</v>
      </c>
      <c r="B53" s="3">
        <v>45382</v>
      </c>
      <c r="C53" s="2" t="s">
        <v>25</v>
      </c>
      <c r="D53" s="2" t="s">
        <v>124</v>
      </c>
      <c r="E53" s="2">
        <v>1</v>
      </c>
      <c r="F53" s="10">
        <v>39.700000000000003</v>
      </c>
      <c r="G53" s="2" t="str">
        <f>_xlfn.XLOOKUP($D$1:$D$361,Products!$A$1:$A$41,Products!$C$1:$C$41)</f>
        <v>Electronics</v>
      </c>
      <c r="H53" s="2">
        <f>_xlfn.XLOOKUP(Sales!D:D,Products!A:A,Products!D:D)</f>
        <v>39.700000000000003</v>
      </c>
      <c r="I53" s="2" t="str">
        <f>_xlfn.XLOOKUP(Table1[[#This Row],[CustomerID]],Customer_info!A:A,Customer_info!D:D)</f>
        <v>United Kingdom</v>
      </c>
      <c r="J53" s="13">
        <f>Table1[[#This Row],[Quantity]]*Table1[[#This Row],[UnitPrice]]</f>
        <v>39.700000000000003</v>
      </c>
    </row>
    <row r="54" spans="1:10" x14ac:dyDescent="0.25">
      <c r="A54" s="2" t="s">
        <v>125</v>
      </c>
      <c r="B54" s="3">
        <v>45396</v>
      </c>
      <c r="C54" s="2" t="s">
        <v>126</v>
      </c>
      <c r="D54" s="2" t="s">
        <v>81</v>
      </c>
      <c r="E54" s="2">
        <v>5</v>
      </c>
      <c r="F54" s="10">
        <v>2166.4</v>
      </c>
      <c r="G54" s="2" t="str">
        <f>_xlfn.XLOOKUP($D$1:$D$361,Products!$A$1:$A$41,Products!$C$1:$C$41)</f>
        <v>Beauty</v>
      </c>
      <c r="H54" s="2">
        <f>_xlfn.XLOOKUP(Sales!D:D,Products!A:A,Products!D:D)</f>
        <v>433.28</v>
      </c>
      <c r="I54" s="2" t="str">
        <f>_xlfn.XLOOKUP(Table1[[#This Row],[CustomerID]],Customer_info!A:A,Customer_info!D:D)</f>
        <v>India</v>
      </c>
      <c r="J54" s="13">
        <f>Table1[[#This Row],[Quantity]]*Table1[[#This Row],[UnitPrice]]</f>
        <v>2166.3999999999996</v>
      </c>
    </row>
    <row r="55" spans="1:10" x14ac:dyDescent="0.25">
      <c r="A55" s="2" t="s">
        <v>127</v>
      </c>
      <c r="B55" s="3">
        <v>45331</v>
      </c>
      <c r="C55" s="2" t="s">
        <v>128</v>
      </c>
      <c r="D55" s="2" t="s">
        <v>129</v>
      </c>
      <c r="E55" s="2">
        <v>5</v>
      </c>
      <c r="F55" s="10">
        <v>583.35</v>
      </c>
      <c r="G55" s="2" t="str">
        <f>_xlfn.XLOOKUP($D$1:$D$361,Products!$A$1:$A$41,Products!$C$1:$C$41)</f>
        <v>Home</v>
      </c>
      <c r="H55" s="2">
        <f>_xlfn.XLOOKUP(Sales!D:D,Products!A:A,Products!D:D)</f>
        <v>116.67</v>
      </c>
      <c r="I55" s="2" t="str">
        <f>_xlfn.XLOOKUP(Table1[[#This Row],[CustomerID]],Customer_info!A:A,Customer_info!D:D)</f>
        <v>Canada</v>
      </c>
      <c r="J55" s="13">
        <f>Table1[[#This Row],[Quantity]]*Table1[[#This Row],[UnitPrice]]</f>
        <v>583.35</v>
      </c>
    </row>
    <row r="56" spans="1:10" x14ac:dyDescent="0.25">
      <c r="A56" s="2" t="s">
        <v>130</v>
      </c>
      <c r="B56" s="3">
        <v>45333</v>
      </c>
      <c r="C56" s="2" t="s">
        <v>131</v>
      </c>
      <c r="D56" s="2" t="s">
        <v>132</v>
      </c>
      <c r="E56" s="2">
        <v>2</v>
      </c>
      <c r="F56" s="10">
        <v>675.6</v>
      </c>
      <c r="G56" s="2" t="str">
        <f>_xlfn.XLOOKUP($D$1:$D$361,Products!$A$1:$A$41,Products!$C$1:$C$41)</f>
        <v>Home</v>
      </c>
      <c r="H56" s="2">
        <f>_xlfn.XLOOKUP(Sales!D:D,Products!A:A,Products!D:D)</f>
        <v>337.8</v>
      </c>
      <c r="I56" s="2" t="str">
        <f>_xlfn.XLOOKUP(Table1[[#This Row],[CustomerID]],Customer_info!A:A,Customer_info!D:D)</f>
        <v>Canada</v>
      </c>
      <c r="J56" s="13">
        <f>Table1[[#This Row],[Quantity]]*Table1[[#This Row],[UnitPrice]]</f>
        <v>675.6</v>
      </c>
    </row>
    <row r="57" spans="1:10" x14ac:dyDescent="0.25">
      <c r="A57" s="2" t="s">
        <v>133</v>
      </c>
      <c r="B57" s="3">
        <v>45397</v>
      </c>
      <c r="C57" s="2" t="s">
        <v>37</v>
      </c>
      <c r="D57" s="2" t="s">
        <v>26</v>
      </c>
      <c r="E57" s="2">
        <v>2</v>
      </c>
      <c r="F57" s="10">
        <v>299.54000000000002</v>
      </c>
      <c r="G57" s="2" t="str">
        <f>_xlfn.XLOOKUP($D$1:$D$361,Products!$A$1:$A$41,Products!$C$1:$C$41)</f>
        <v>Beauty</v>
      </c>
      <c r="H57" s="2">
        <f>_xlfn.XLOOKUP(Sales!D:D,Products!A:A,Products!D:D)</f>
        <v>149.77000000000001</v>
      </c>
      <c r="I57" s="2" t="str">
        <f>_xlfn.XLOOKUP(Table1[[#This Row],[CustomerID]],Customer_info!A:A,Customer_info!D:D)</f>
        <v>United States</v>
      </c>
      <c r="J57" s="13">
        <f>Table1[[#This Row],[Quantity]]*Table1[[#This Row],[UnitPrice]]</f>
        <v>299.54000000000002</v>
      </c>
    </row>
    <row r="58" spans="1:10" x14ac:dyDescent="0.25">
      <c r="A58" s="2" t="s">
        <v>134</v>
      </c>
      <c r="B58" s="3">
        <v>45337</v>
      </c>
      <c r="C58" s="2" t="s">
        <v>135</v>
      </c>
      <c r="D58" s="2" t="s">
        <v>136</v>
      </c>
      <c r="E58" s="2">
        <v>1</v>
      </c>
      <c r="F58" s="10">
        <v>431.22</v>
      </c>
      <c r="G58" s="2" t="str">
        <f>_xlfn.XLOOKUP($D$1:$D$361,Products!$A$1:$A$41,Products!$C$1:$C$41)</f>
        <v>Electronics</v>
      </c>
      <c r="H58" s="2">
        <f>_xlfn.XLOOKUP(Sales!D:D,Products!A:A,Products!D:D)</f>
        <v>431.22</v>
      </c>
      <c r="I58" s="2" t="str">
        <f>_xlfn.XLOOKUP(Table1[[#This Row],[CustomerID]],Customer_info!A:A,Customer_info!D:D)</f>
        <v>India</v>
      </c>
      <c r="J58" s="13">
        <f>Table1[[#This Row],[Quantity]]*Table1[[#This Row],[UnitPrice]]</f>
        <v>431.22</v>
      </c>
    </row>
    <row r="59" spans="1:10" x14ac:dyDescent="0.25">
      <c r="A59" s="2" t="s">
        <v>137</v>
      </c>
      <c r="B59" s="3">
        <v>45397</v>
      </c>
      <c r="C59" s="2" t="s">
        <v>85</v>
      </c>
      <c r="D59" s="2" t="s">
        <v>68</v>
      </c>
      <c r="E59" s="2">
        <v>3</v>
      </c>
      <c r="F59" s="10">
        <v>1206.8699999999999</v>
      </c>
      <c r="G59" s="2" t="str">
        <f>_xlfn.XLOOKUP($D$1:$D$361,Products!$A$1:$A$41,Products!$C$1:$C$41)</f>
        <v>Home</v>
      </c>
      <c r="H59" s="2">
        <f>_xlfn.XLOOKUP(Sales!D:D,Products!A:A,Products!D:D)</f>
        <v>402.29</v>
      </c>
      <c r="I59" s="2" t="str">
        <f>_xlfn.XLOOKUP(Table1[[#This Row],[CustomerID]],Customer_info!A:A,Customer_info!D:D)</f>
        <v>United Kingdom</v>
      </c>
      <c r="J59" s="13">
        <f>Table1[[#This Row],[Quantity]]*Table1[[#This Row],[UnitPrice]]</f>
        <v>1206.8700000000001</v>
      </c>
    </row>
    <row r="60" spans="1:10" x14ac:dyDescent="0.25">
      <c r="A60" s="2" t="s">
        <v>138</v>
      </c>
      <c r="B60" s="3">
        <v>45360</v>
      </c>
      <c r="C60" s="2" t="s">
        <v>139</v>
      </c>
      <c r="D60" s="2" t="s">
        <v>72</v>
      </c>
      <c r="E60" s="2">
        <v>2</v>
      </c>
      <c r="F60" s="10">
        <v>433.44</v>
      </c>
      <c r="G60" s="2" t="str">
        <f>_xlfn.XLOOKUP($D$1:$D$361,Products!$A$1:$A$41,Products!$C$1:$C$41)</f>
        <v>Clothing</v>
      </c>
      <c r="H60" s="2">
        <f>_xlfn.XLOOKUP(Sales!D:D,Products!A:A,Products!D:D)</f>
        <v>216.72</v>
      </c>
      <c r="I60" s="2" t="str">
        <f>_xlfn.XLOOKUP(Table1[[#This Row],[CustomerID]],Customer_info!A:A,Customer_info!D:D)</f>
        <v>United States</v>
      </c>
      <c r="J60" s="13">
        <f>Table1[[#This Row],[Quantity]]*Table1[[#This Row],[UnitPrice]]</f>
        <v>433.44</v>
      </c>
    </row>
    <row r="61" spans="1:10" x14ac:dyDescent="0.25">
      <c r="A61" s="2" t="s">
        <v>140</v>
      </c>
      <c r="B61" s="3">
        <v>45471</v>
      </c>
      <c r="C61" s="2" t="s">
        <v>141</v>
      </c>
      <c r="D61" s="2" t="s">
        <v>28</v>
      </c>
      <c r="E61" s="2">
        <v>2</v>
      </c>
      <c r="F61" s="10">
        <v>904.4</v>
      </c>
      <c r="G61" s="2" t="str">
        <f>_xlfn.XLOOKUP($D$1:$D$361,Products!$A$1:$A$41,Products!$C$1:$C$41)</f>
        <v>Beauty</v>
      </c>
      <c r="H61" s="2">
        <f>_xlfn.XLOOKUP(Sales!D:D,Products!A:A,Products!D:D)</f>
        <v>452.2</v>
      </c>
      <c r="I61" s="2" t="str">
        <f>_xlfn.XLOOKUP(Table1[[#This Row],[CustomerID]],Customer_info!A:A,Customer_info!D:D)</f>
        <v>India</v>
      </c>
      <c r="J61" s="13">
        <f>Table1[[#This Row],[Quantity]]*Table1[[#This Row],[UnitPrice]]</f>
        <v>904.4</v>
      </c>
    </row>
    <row r="62" spans="1:10" x14ac:dyDescent="0.25">
      <c r="A62" s="2" t="s">
        <v>142</v>
      </c>
      <c r="B62" s="3">
        <v>45389</v>
      </c>
      <c r="C62" s="2" t="s">
        <v>143</v>
      </c>
      <c r="D62" s="2" t="s">
        <v>81</v>
      </c>
      <c r="E62" s="2">
        <v>1</v>
      </c>
      <c r="F62" s="10">
        <v>433.28</v>
      </c>
      <c r="G62" s="2" t="str">
        <f>_xlfn.XLOOKUP($D$1:$D$361,Products!$A$1:$A$41,Products!$C$1:$C$41)</f>
        <v>Beauty</v>
      </c>
      <c r="H62" s="2">
        <f>_xlfn.XLOOKUP(Sales!D:D,Products!A:A,Products!D:D)</f>
        <v>433.28</v>
      </c>
      <c r="I62" s="2" t="str">
        <f>_xlfn.XLOOKUP(Table1[[#This Row],[CustomerID]],Customer_info!A:A,Customer_info!D:D)</f>
        <v>Canada</v>
      </c>
      <c r="J62" s="13">
        <f>Table1[[#This Row],[Quantity]]*Table1[[#This Row],[UnitPrice]]</f>
        <v>433.28</v>
      </c>
    </row>
    <row r="63" spans="1:10" x14ac:dyDescent="0.25">
      <c r="A63" s="2" t="s">
        <v>144</v>
      </c>
      <c r="B63" s="3">
        <v>45412</v>
      </c>
      <c r="C63" s="2" t="s">
        <v>145</v>
      </c>
      <c r="D63" s="2" t="s">
        <v>146</v>
      </c>
      <c r="E63" s="2">
        <v>1</v>
      </c>
      <c r="F63" s="10">
        <v>332.9</v>
      </c>
      <c r="G63" s="2" t="str">
        <f>_xlfn.XLOOKUP($D$1:$D$361,Products!$A$1:$A$41,Products!$C$1:$C$41)</f>
        <v>Electronics</v>
      </c>
      <c r="H63" s="2">
        <f>_xlfn.XLOOKUP(Sales!D:D,Products!A:A,Products!D:D)</f>
        <v>332.9</v>
      </c>
      <c r="I63" s="2" t="str">
        <f>_xlfn.XLOOKUP(Table1[[#This Row],[CustomerID]],Customer_info!A:A,Customer_info!D:D)</f>
        <v>United Kingdom</v>
      </c>
      <c r="J63" s="13">
        <f>Table1[[#This Row],[Quantity]]*Table1[[#This Row],[UnitPrice]]</f>
        <v>332.9</v>
      </c>
    </row>
    <row r="64" spans="1:10" x14ac:dyDescent="0.25">
      <c r="A64" s="2" t="s">
        <v>147</v>
      </c>
      <c r="B64" s="3">
        <v>45343</v>
      </c>
      <c r="C64" s="2" t="s">
        <v>105</v>
      </c>
      <c r="D64" s="2" t="s">
        <v>148</v>
      </c>
      <c r="E64" s="2">
        <v>2</v>
      </c>
      <c r="F64" s="10">
        <v>679.9</v>
      </c>
      <c r="G64" s="2" t="str">
        <f>_xlfn.XLOOKUP($D$1:$D$361,Products!$A$1:$A$41,Products!$C$1:$C$41)</f>
        <v>Electronics</v>
      </c>
      <c r="H64" s="2">
        <f>_xlfn.XLOOKUP(Sales!D:D,Products!A:A,Products!D:D)</f>
        <v>339.95</v>
      </c>
      <c r="I64" s="2" t="str">
        <f>_xlfn.XLOOKUP(Table1[[#This Row],[CustomerID]],Customer_info!A:A,Customer_info!D:D)</f>
        <v>United Kingdom</v>
      </c>
      <c r="J64" s="13">
        <f>Table1[[#This Row],[Quantity]]*Table1[[#This Row],[UnitPrice]]</f>
        <v>679.9</v>
      </c>
    </row>
    <row r="65" spans="1:10" x14ac:dyDescent="0.25">
      <c r="A65" s="2" t="s">
        <v>149</v>
      </c>
      <c r="B65" s="3">
        <v>45381</v>
      </c>
      <c r="C65" s="2" t="s">
        <v>150</v>
      </c>
      <c r="D65" s="2" t="s">
        <v>124</v>
      </c>
      <c r="E65" s="2">
        <v>4</v>
      </c>
      <c r="F65" s="10">
        <v>158.80000000000001</v>
      </c>
      <c r="G65" s="2" t="str">
        <f>_xlfn.XLOOKUP($D$1:$D$361,Products!$A$1:$A$41,Products!$C$1:$C$41)</f>
        <v>Electronics</v>
      </c>
      <c r="H65" s="2">
        <f>_xlfn.XLOOKUP(Sales!D:D,Products!A:A,Products!D:D)</f>
        <v>39.700000000000003</v>
      </c>
      <c r="I65" s="2" t="str">
        <f>_xlfn.XLOOKUP(Table1[[#This Row],[CustomerID]],Customer_info!A:A,Customer_info!D:D)</f>
        <v>United Kingdom</v>
      </c>
      <c r="J65" s="13">
        <f>Table1[[#This Row],[Quantity]]*Table1[[#This Row],[UnitPrice]]</f>
        <v>158.80000000000001</v>
      </c>
    </row>
    <row r="66" spans="1:10" x14ac:dyDescent="0.25">
      <c r="A66" s="2" t="s">
        <v>151</v>
      </c>
      <c r="B66" s="3">
        <v>45350</v>
      </c>
      <c r="C66" s="2" t="s">
        <v>13</v>
      </c>
      <c r="D66" s="2" t="s">
        <v>152</v>
      </c>
      <c r="E66" s="2">
        <v>3</v>
      </c>
      <c r="F66" s="10">
        <v>1022.55</v>
      </c>
      <c r="G66" s="2" t="str">
        <f>_xlfn.XLOOKUP($D$1:$D$361,Products!$A$1:$A$41,Products!$C$1:$C$41)</f>
        <v>Electronics</v>
      </c>
      <c r="H66" s="2">
        <f>_xlfn.XLOOKUP(Sales!D:D,Products!A:A,Products!D:D)</f>
        <v>340.85</v>
      </c>
      <c r="I66" s="2" t="str">
        <f>_xlfn.XLOOKUP(Table1[[#This Row],[CustomerID]],Customer_info!A:A,Customer_info!D:D)</f>
        <v>Canada</v>
      </c>
      <c r="J66" s="13">
        <f>Table1[[#This Row],[Quantity]]*Table1[[#This Row],[UnitPrice]]</f>
        <v>1022.5500000000001</v>
      </c>
    </row>
    <row r="67" spans="1:10" x14ac:dyDescent="0.25">
      <c r="A67" s="2" t="s">
        <v>153</v>
      </c>
      <c r="B67" s="3">
        <v>45298</v>
      </c>
      <c r="C67" s="2" t="s">
        <v>89</v>
      </c>
      <c r="D67" s="2" t="s">
        <v>60</v>
      </c>
      <c r="E67" s="2">
        <v>2</v>
      </c>
      <c r="F67" s="10">
        <v>182.98</v>
      </c>
      <c r="G67" s="2" t="str">
        <f>_xlfn.XLOOKUP($D$1:$D$361,Products!$A$1:$A$41,Products!$C$1:$C$41)</f>
        <v>Clothing</v>
      </c>
      <c r="H67" s="2">
        <f>_xlfn.XLOOKUP(Sales!D:D,Products!A:A,Products!D:D)</f>
        <v>91.49</v>
      </c>
      <c r="I67" s="2" t="str">
        <f>_xlfn.XLOOKUP(Table1[[#This Row],[CustomerID]],Customer_info!A:A,Customer_info!D:D)</f>
        <v>United Kingdom</v>
      </c>
      <c r="J67" s="13">
        <f>Table1[[#This Row],[Quantity]]*Table1[[#This Row],[UnitPrice]]</f>
        <v>182.98</v>
      </c>
    </row>
    <row r="68" spans="1:10" x14ac:dyDescent="0.25">
      <c r="A68" s="2" t="s">
        <v>154</v>
      </c>
      <c r="B68" s="3">
        <v>45394</v>
      </c>
      <c r="C68" s="2" t="s">
        <v>37</v>
      </c>
      <c r="D68" s="2" t="s">
        <v>148</v>
      </c>
      <c r="E68" s="2">
        <v>2</v>
      </c>
      <c r="F68" s="10">
        <v>679.9</v>
      </c>
      <c r="G68" s="2" t="str">
        <f>_xlfn.XLOOKUP($D$1:$D$361,Products!$A$1:$A$41,Products!$C$1:$C$41)</f>
        <v>Electronics</v>
      </c>
      <c r="H68" s="2">
        <f>_xlfn.XLOOKUP(Sales!D:D,Products!A:A,Products!D:D)</f>
        <v>339.95</v>
      </c>
      <c r="I68" s="2" t="str">
        <f>_xlfn.XLOOKUP(Table1[[#This Row],[CustomerID]],Customer_info!A:A,Customer_info!D:D)</f>
        <v>United States</v>
      </c>
      <c r="J68" s="13">
        <f>Table1[[#This Row],[Quantity]]*Table1[[#This Row],[UnitPrice]]</f>
        <v>679.9</v>
      </c>
    </row>
    <row r="69" spans="1:10" x14ac:dyDescent="0.25">
      <c r="A69" s="2" t="s">
        <v>155</v>
      </c>
      <c r="B69" s="3">
        <v>45363</v>
      </c>
      <c r="C69" s="2" t="s">
        <v>51</v>
      </c>
      <c r="D69" s="2" t="s">
        <v>14</v>
      </c>
      <c r="E69" s="2">
        <v>3</v>
      </c>
      <c r="F69" s="10">
        <v>710.07</v>
      </c>
      <c r="G69" s="2" t="str">
        <f>_xlfn.XLOOKUP($D$1:$D$361,Products!$A$1:$A$41,Products!$C$1:$C$41)</f>
        <v>Home</v>
      </c>
      <c r="H69" s="2">
        <f>_xlfn.XLOOKUP(Sales!D:D,Products!A:A,Products!D:D)</f>
        <v>236.69</v>
      </c>
      <c r="I69" s="2" t="str">
        <f>_xlfn.XLOOKUP(Table1[[#This Row],[CustomerID]],Customer_info!A:A,Customer_info!D:D)</f>
        <v>United States</v>
      </c>
      <c r="J69" s="13">
        <f>Table1[[#This Row],[Quantity]]*Table1[[#This Row],[UnitPrice]]</f>
        <v>710.06999999999994</v>
      </c>
    </row>
    <row r="70" spans="1:10" x14ac:dyDescent="0.25">
      <c r="A70" s="2" t="s">
        <v>156</v>
      </c>
      <c r="B70" s="3">
        <v>45363</v>
      </c>
      <c r="C70" s="2" t="s">
        <v>105</v>
      </c>
      <c r="D70" s="2" t="s">
        <v>49</v>
      </c>
      <c r="E70" s="2">
        <v>1</v>
      </c>
      <c r="F70" s="10">
        <v>293.8</v>
      </c>
      <c r="G70" s="2" t="str">
        <f>_xlfn.XLOOKUP($D$1:$D$361,Products!$A$1:$A$41,Products!$C$1:$C$41)</f>
        <v>Electronics</v>
      </c>
      <c r="H70" s="2">
        <f>_xlfn.XLOOKUP(Sales!D:D,Products!A:A,Products!D:D)</f>
        <v>293.8</v>
      </c>
      <c r="I70" s="2" t="str">
        <f>_xlfn.XLOOKUP(Table1[[#This Row],[CustomerID]],Customer_info!A:A,Customer_info!D:D)</f>
        <v>United Kingdom</v>
      </c>
      <c r="J70" s="13">
        <f>Table1[[#This Row],[Quantity]]*Table1[[#This Row],[UnitPrice]]</f>
        <v>293.8</v>
      </c>
    </row>
    <row r="71" spans="1:10" x14ac:dyDescent="0.25">
      <c r="A71" s="2" t="s">
        <v>157</v>
      </c>
      <c r="B71" s="3">
        <v>45456</v>
      </c>
      <c r="C71" s="2" t="s">
        <v>111</v>
      </c>
      <c r="D71" s="2" t="s">
        <v>60</v>
      </c>
      <c r="E71" s="2">
        <v>3</v>
      </c>
      <c r="F71" s="10">
        <v>274.47000000000003</v>
      </c>
      <c r="G71" s="2" t="str">
        <f>_xlfn.XLOOKUP($D$1:$D$361,Products!$A$1:$A$41,Products!$C$1:$C$41)</f>
        <v>Clothing</v>
      </c>
      <c r="H71" s="2">
        <f>_xlfn.XLOOKUP(Sales!D:D,Products!A:A,Products!D:D)</f>
        <v>91.49</v>
      </c>
      <c r="I71" s="2" t="str">
        <f>_xlfn.XLOOKUP(Table1[[#This Row],[CustomerID]],Customer_info!A:A,Customer_info!D:D)</f>
        <v>United Kingdom</v>
      </c>
      <c r="J71" s="13">
        <f>Table1[[#This Row],[Quantity]]*Table1[[#This Row],[UnitPrice]]</f>
        <v>274.46999999999997</v>
      </c>
    </row>
    <row r="72" spans="1:10" x14ac:dyDescent="0.25">
      <c r="A72" s="2" t="s">
        <v>158</v>
      </c>
      <c r="B72" s="3">
        <v>45394</v>
      </c>
      <c r="C72" s="2" t="s">
        <v>159</v>
      </c>
      <c r="D72" s="2" t="s">
        <v>160</v>
      </c>
      <c r="E72" s="2">
        <v>5</v>
      </c>
      <c r="F72" s="10">
        <v>217.9</v>
      </c>
      <c r="G72" s="2" t="str">
        <f>_xlfn.XLOOKUP($D$1:$D$361,Products!$A$1:$A$41,Products!$C$1:$C$41)</f>
        <v>Clothing</v>
      </c>
      <c r="H72" s="2">
        <f>_xlfn.XLOOKUP(Sales!D:D,Products!A:A,Products!D:D)</f>
        <v>43.58</v>
      </c>
      <c r="I72" s="2" t="str">
        <f>_xlfn.XLOOKUP(Table1[[#This Row],[CustomerID]],Customer_info!A:A,Customer_info!D:D)</f>
        <v>United States</v>
      </c>
      <c r="J72" s="13">
        <f>Table1[[#This Row],[Quantity]]*Table1[[#This Row],[UnitPrice]]</f>
        <v>217.89999999999998</v>
      </c>
    </row>
    <row r="73" spans="1:10" x14ac:dyDescent="0.25">
      <c r="A73" s="2" t="s">
        <v>161</v>
      </c>
      <c r="B73" s="3">
        <v>45376</v>
      </c>
      <c r="C73" s="2" t="s">
        <v>7</v>
      </c>
      <c r="D73" s="2" t="s">
        <v>28</v>
      </c>
      <c r="E73" s="2">
        <v>5</v>
      </c>
      <c r="F73" s="10">
        <v>2261</v>
      </c>
      <c r="G73" s="2" t="str">
        <f>_xlfn.XLOOKUP($D$1:$D$361,Products!$A$1:$A$41,Products!$C$1:$C$41)</f>
        <v>Beauty</v>
      </c>
      <c r="H73" s="2">
        <f>_xlfn.XLOOKUP(Sales!D:D,Products!A:A,Products!D:D)</f>
        <v>452.2</v>
      </c>
      <c r="I73" s="2" t="str">
        <f>_xlfn.XLOOKUP(Table1[[#This Row],[CustomerID]],Customer_info!A:A,Customer_info!D:D)</f>
        <v>Canada</v>
      </c>
      <c r="J73" s="13">
        <f>Table1[[#This Row],[Quantity]]*Table1[[#This Row],[UnitPrice]]</f>
        <v>2261</v>
      </c>
    </row>
    <row r="74" spans="1:10" x14ac:dyDescent="0.25">
      <c r="A74" s="2" t="s">
        <v>162</v>
      </c>
      <c r="B74" s="3">
        <v>45321</v>
      </c>
      <c r="C74" s="2" t="s">
        <v>128</v>
      </c>
      <c r="D74" s="2" t="s">
        <v>152</v>
      </c>
      <c r="E74" s="2">
        <v>1</v>
      </c>
      <c r="F74" s="10">
        <v>340.85</v>
      </c>
      <c r="G74" s="2" t="str">
        <f>_xlfn.XLOOKUP($D$1:$D$361,Products!$A$1:$A$41,Products!$C$1:$C$41)</f>
        <v>Electronics</v>
      </c>
      <c r="H74" s="2">
        <f>_xlfn.XLOOKUP(Sales!D:D,Products!A:A,Products!D:D)</f>
        <v>340.85</v>
      </c>
      <c r="I74" s="2" t="str">
        <f>_xlfn.XLOOKUP(Table1[[#This Row],[CustomerID]],Customer_info!A:A,Customer_info!D:D)</f>
        <v>Canada</v>
      </c>
      <c r="J74" s="13">
        <f>Table1[[#This Row],[Quantity]]*Table1[[#This Row],[UnitPrice]]</f>
        <v>340.85</v>
      </c>
    </row>
    <row r="75" spans="1:10" x14ac:dyDescent="0.25">
      <c r="A75" s="2" t="s">
        <v>163</v>
      </c>
      <c r="B75" s="3">
        <v>45337</v>
      </c>
      <c r="C75" s="2" t="s">
        <v>13</v>
      </c>
      <c r="D75" s="2" t="s">
        <v>136</v>
      </c>
      <c r="E75" s="2">
        <v>3</v>
      </c>
      <c r="F75" s="10">
        <v>1293.6600000000001</v>
      </c>
      <c r="G75" s="2" t="str">
        <f>_xlfn.XLOOKUP($D$1:$D$361,Products!$A$1:$A$41,Products!$C$1:$C$41)</f>
        <v>Electronics</v>
      </c>
      <c r="H75" s="2">
        <f>_xlfn.XLOOKUP(Sales!D:D,Products!A:A,Products!D:D)</f>
        <v>431.22</v>
      </c>
      <c r="I75" s="2" t="str">
        <f>_xlfn.XLOOKUP(Table1[[#This Row],[CustomerID]],Customer_info!A:A,Customer_info!D:D)</f>
        <v>Canada</v>
      </c>
      <c r="J75" s="13">
        <f>Table1[[#This Row],[Quantity]]*Table1[[#This Row],[UnitPrice]]</f>
        <v>1293.6600000000001</v>
      </c>
    </row>
    <row r="76" spans="1:10" x14ac:dyDescent="0.25">
      <c r="A76" s="2" t="s">
        <v>164</v>
      </c>
      <c r="B76" s="3">
        <v>45359</v>
      </c>
      <c r="C76" s="2" t="s">
        <v>135</v>
      </c>
      <c r="D76" s="2" t="s">
        <v>165</v>
      </c>
      <c r="E76" s="2">
        <v>5</v>
      </c>
      <c r="F76" s="10">
        <v>1309.7</v>
      </c>
      <c r="G76" s="2" t="str">
        <f>_xlfn.XLOOKUP($D$1:$D$361,Products!$A$1:$A$41,Products!$C$1:$C$41)</f>
        <v>Electronics</v>
      </c>
      <c r="H76" s="2">
        <f>_xlfn.XLOOKUP(Sales!D:D,Products!A:A,Products!D:D)</f>
        <v>261.94</v>
      </c>
      <c r="I76" s="2" t="str">
        <f>_xlfn.XLOOKUP(Table1[[#This Row],[CustomerID]],Customer_info!A:A,Customer_info!D:D)</f>
        <v>India</v>
      </c>
      <c r="J76" s="13">
        <f>Table1[[#This Row],[Quantity]]*Table1[[#This Row],[UnitPrice]]</f>
        <v>1309.7</v>
      </c>
    </row>
    <row r="77" spans="1:10" x14ac:dyDescent="0.25">
      <c r="A77" s="2" t="s">
        <v>166</v>
      </c>
      <c r="B77" s="3">
        <v>45319</v>
      </c>
      <c r="C77" s="2" t="s">
        <v>167</v>
      </c>
      <c r="D77" s="2" t="s">
        <v>165</v>
      </c>
      <c r="E77" s="2">
        <v>1</v>
      </c>
      <c r="F77" s="10">
        <v>261.94</v>
      </c>
      <c r="G77" s="2" t="str">
        <f>_xlfn.XLOOKUP($D$1:$D$361,Products!$A$1:$A$41,Products!$C$1:$C$41)</f>
        <v>Electronics</v>
      </c>
      <c r="H77" s="2">
        <f>_xlfn.XLOOKUP(Sales!D:D,Products!A:A,Products!D:D)</f>
        <v>261.94</v>
      </c>
      <c r="I77" s="2" t="str">
        <f>_xlfn.XLOOKUP(Table1[[#This Row],[CustomerID]],Customer_info!A:A,Customer_info!D:D)</f>
        <v>United Kingdom</v>
      </c>
      <c r="J77" s="13">
        <f>Table1[[#This Row],[Quantity]]*Table1[[#This Row],[UnitPrice]]</f>
        <v>261.94</v>
      </c>
    </row>
    <row r="78" spans="1:10" x14ac:dyDescent="0.25">
      <c r="A78" s="2" t="s">
        <v>168</v>
      </c>
      <c r="B78" s="3">
        <v>45403</v>
      </c>
      <c r="C78" s="2" t="s">
        <v>135</v>
      </c>
      <c r="D78" s="2" t="s">
        <v>114</v>
      </c>
      <c r="E78" s="2">
        <v>5</v>
      </c>
      <c r="F78" s="10">
        <v>1135.6500000000001</v>
      </c>
      <c r="G78" s="2" t="str">
        <f>_xlfn.XLOOKUP($D$1:$D$361,Products!$A$1:$A$41,Products!$C$1:$C$41)</f>
        <v>Electronics</v>
      </c>
      <c r="H78" s="2">
        <f>_xlfn.XLOOKUP(Sales!D:D,Products!A:A,Products!D:D)</f>
        <v>227.13</v>
      </c>
      <c r="I78" s="2" t="str">
        <f>_xlfn.XLOOKUP(Table1[[#This Row],[CustomerID]],Customer_info!A:A,Customer_info!D:D)</f>
        <v>India</v>
      </c>
      <c r="J78" s="13">
        <f>Table1[[#This Row],[Quantity]]*Table1[[#This Row],[UnitPrice]]</f>
        <v>1135.6500000000001</v>
      </c>
    </row>
    <row r="79" spans="1:10" x14ac:dyDescent="0.25">
      <c r="A79" s="2" t="s">
        <v>169</v>
      </c>
      <c r="B79" s="3">
        <v>45372</v>
      </c>
      <c r="C79" s="2" t="s">
        <v>170</v>
      </c>
      <c r="D79" s="2" t="s">
        <v>23</v>
      </c>
      <c r="E79" s="2">
        <v>3</v>
      </c>
      <c r="F79" s="10">
        <v>309.89999999999998</v>
      </c>
      <c r="G79" s="2" t="str">
        <f>_xlfn.XLOOKUP($D$1:$D$361,Products!$A$1:$A$41,Products!$C$1:$C$41)</f>
        <v>Beauty</v>
      </c>
      <c r="H79" s="2">
        <f>_xlfn.XLOOKUP(Sales!D:D,Products!A:A,Products!D:D)</f>
        <v>103.3</v>
      </c>
      <c r="I79" s="2" t="str">
        <f>_xlfn.XLOOKUP(Table1[[#This Row],[CustomerID]],Customer_info!A:A,Customer_info!D:D)</f>
        <v>United Kingdom</v>
      </c>
      <c r="J79" s="13">
        <f>Table1[[#This Row],[Quantity]]*Table1[[#This Row],[UnitPrice]]</f>
        <v>309.89999999999998</v>
      </c>
    </row>
    <row r="80" spans="1:10" x14ac:dyDescent="0.25">
      <c r="A80" s="2" t="s">
        <v>171</v>
      </c>
      <c r="B80" s="3">
        <v>45447</v>
      </c>
      <c r="C80" s="2" t="s">
        <v>172</v>
      </c>
      <c r="D80" s="2" t="s">
        <v>81</v>
      </c>
      <c r="E80" s="2">
        <v>4</v>
      </c>
      <c r="F80" s="10">
        <v>1733.12</v>
      </c>
      <c r="G80" s="2" t="str">
        <f>_xlfn.XLOOKUP($D$1:$D$361,Products!$A$1:$A$41,Products!$C$1:$C$41)</f>
        <v>Beauty</v>
      </c>
      <c r="H80" s="2">
        <f>_xlfn.XLOOKUP(Sales!D:D,Products!A:A,Products!D:D)</f>
        <v>433.28</v>
      </c>
      <c r="I80" s="2" t="str">
        <f>_xlfn.XLOOKUP(Table1[[#This Row],[CustomerID]],Customer_info!A:A,Customer_info!D:D)</f>
        <v>Canada</v>
      </c>
      <c r="J80" s="13">
        <f>Table1[[#This Row],[Quantity]]*Table1[[#This Row],[UnitPrice]]</f>
        <v>1733.12</v>
      </c>
    </row>
    <row r="81" spans="1:10" x14ac:dyDescent="0.25">
      <c r="A81" s="2" t="s">
        <v>173</v>
      </c>
      <c r="B81" s="3">
        <v>45321</v>
      </c>
      <c r="C81" s="2" t="s">
        <v>174</v>
      </c>
      <c r="D81" s="2" t="s">
        <v>146</v>
      </c>
      <c r="E81" s="2">
        <v>5</v>
      </c>
      <c r="F81" s="10">
        <v>1664.5</v>
      </c>
      <c r="G81" s="2" t="str">
        <f>_xlfn.XLOOKUP($D$1:$D$361,Products!$A$1:$A$41,Products!$C$1:$C$41)</f>
        <v>Electronics</v>
      </c>
      <c r="H81" s="2">
        <f>_xlfn.XLOOKUP(Sales!D:D,Products!A:A,Products!D:D)</f>
        <v>332.9</v>
      </c>
      <c r="I81" s="2" t="str">
        <f>_xlfn.XLOOKUP(Table1[[#This Row],[CustomerID]],Customer_info!A:A,Customer_info!D:D)</f>
        <v>Canada</v>
      </c>
      <c r="J81" s="13">
        <f>Table1[[#This Row],[Quantity]]*Table1[[#This Row],[UnitPrice]]</f>
        <v>1664.5</v>
      </c>
    </row>
    <row r="82" spans="1:10" x14ac:dyDescent="0.25">
      <c r="A82" s="2" t="s">
        <v>175</v>
      </c>
      <c r="B82" s="3">
        <v>45439</v>
      </c>
      <c r="C82" s="2" t="s">
        <v>176</v>
      </c>
      <c r="D82" s="2" t="s">
        <v>63</v>
      </c>
      <c r="E82" s="2">
        <v>4</v>
      </c>
      <c r="F82" s="10">
        <v>231.92</v>
      </c>
      <c r="G82" s="2" t="str">
        <f>_xlfn.XLOOKUP($D$1:$D$361,Products!$A$1:$A$41,Products!$C$1:$C$41)</f>
        <v>Sports</v>
      </c>
      <c r="H82" s="2">
        <f>_xlfn.XLOOKUP(Sales!D:D,Products!A:A,Products!D:D)</f>
        <v>57.98</v>
      </c>
      <c r="I82" s="2" t="str">
        <f>_xlfn.XLOOKUP(Table1[[#This Row],[CustomerID]],Customer_info!A:A,Customer_info!D:D)</f>
        <v>United Kingdom</v>
      </c>
      <c r="J82" s="13">
        <f>Table1[[#This Row],[Quantity]]*Table1[[#This Row],[UnitPrice]]</f>
        <v>231.92</v>
      </c>
    </row>
    <row r="83" spans="1:10" x14ac:dyDescent="0.25">
      <c r="A83" s="2" t="s">
        <v>177</v>
      </c>
      <c r="B83" s="3">
        <v>45357</v>
      </c>
      <c r="C83" s="2" t="s">
        <v>48</v>
      </c>
      <c r="D83" s="2" t="s">
        <v>178</v>
      </c>
      <c r="E83" s="2">
        <v>2</v>
      </c>
      <c r="F83" s="10">
        <v>435.1</v>
      </c>
      <c r="G83" s="2" t="str">
        <f>_xlfn.XLOOKUP($D$1:$D$361,Products!$A$1:$A$41,Products!$C$1:$C$41)</f>
        <v>Home</v>
      </c>
      <c r="H83" s="2">
        <f>_xlfn.XLOOKUP(Sales!D:D,Products!A:A,Products!D:D)</f>
        <v>217.55</v>
      </c>
      <c r="I83" s="2" t="str">
        <f>_xlfn.XLOOKUP(Table1[[#This Row],[CustomerID]],Customer_info!A:A,Customer_info!D:D)</f>
        <v>Canada</v>
      </c>
      <c r="J83" s="13">
        <f>Table1[[#This Row],[Quantity]]*Table1[[#This Row],[UnitPrice]]</f>
        <v>435.1</v>
      </c>
    </row>
    <row r="84" spans="1:10" x14ac:dyDescent="0.25">
      <c r="A84" s="2" t="s">
        <v>179</v>
      </c>
      <c r="B84" s="3">
        <v>45403</v>
      </c>
      <c r="C84" s="2" t="s">
        <v>180</v>
      </c>
      <c r="D84" s="2" t="s">
        <v>72</v>
      </c>
      <c r="E84" s="2">
        <v>1</v>
      </c>
      <c r="F84" s="10">
        <v>216.72</v>
      </c>
      <c r="G84" s="2" t="str">
        <f>_xlfn.XLOOKUP($D$1:$D$361,Products!$A$1:$A$41,Products!$C$1:$C$41)</f>
        <v>Clothing</v>
      </c>
      <c r="H84" s="2">
        <f>_xlfn.XLOOKUP(Sales!D:D,Products!A:A,Products!D:D)</f>
        <v>216.72</v>
      </c>
      <c r="I84" s="2" t="str">
        <f>_xlfn.XLOOKUP(Table1[[#This Row],[CustomerID]],Customer_info!A:A,Customer_info!D:D)</f>
        <v>United Kingdom</v>
      </c>
      <c r="J84" s="13">
        <f>Table1[[#This Row],[Quantity]]*Table1[[#This Row],[UnitPrice]]</f>
        <v>216.72</v>
      </c>
    </row>
    <row r="85" spans="1:10" x14ac:dyDescent="0.25">
      <c r="A85" s="2" t="s">
        <v>181</v>
      </c>
      <c r="B85" s="3">
        <v>45425</v>
      </c>
      <c r="C85" s="2" t="s">
        <v>182</v>
      </c>
      <c r="D85" s="2" t="s">
        <v>136</v>
      </c>
      <c r="E85" s="2">
        <v>1</v>
      </c>
      <c r="F85" s="10">
        <v>431.22</v>
      </c>
      <c r="G85" s="2" t="str">
        <f>_xlfn.XLOOKUP($D$1:$D$361,Products!$A$1:$A$41,Products!$C$1:$C$41)</f>
        <v>Electronics</v>
      </c>
      <c r="H85" s="2">
        <f>_xlfn.XLOOKUP(Sales!D:D,Products!A:A,Products!D:D)</f>
        <v>431.22</v>
      </c>
      <c r="I85" s="2" t="str">
        <f>_xlfn.XLOOKUP(Table1[[#This Row],[CustomerID]],Customer_info!A:A,Customer_info!D:D)</f>
        <v>Canada</v>
      </c>
      <c r="J85" s="13">
        <f>Table1[[#This Row],[Quantity]]*Table1[[#This Row],[UnitPrice]]</f>
        <v>431.22</v>
      </c>
    </row>
    <row r="86" spans="1:10" x14ac:dyDescent="0.25">
      <c r="A86" s="2" t="s">
        <v>183</v>
      </c>
      <c r="B86" s="3">
        <v>45467</v>
      </c>
      <c r="C86" s="2" t="s">
        <v>57</v>
      </c>
      <c r="D86" s="2" t="s">
        <v>136</v>
      </c>
      <c r="E86" s="2">
        <v>5</v>
      </c>
      <c r="F86" s="10">
        <v>2156.1</v>
      </c>
      <c r="G86" s="2" t="str">
        <f>_xlfn.XLOOKUP($D$1:$D$361,Products!$A$1:$A$41,Products!$C$1:$C$41)</f>
        <v>Electronics</v>
      </c>
      <c r="H86" s="2">
        <f>_xlfn.XLOOKUP(Sales!D:D,Products!A:A,Products!D:D)</f>
        <v>431.22</v>
      </c>
      <c r="I86" s="2" t="str">
        <f>_xlfn.XLOOKUP(Table1[[#This Row],[CustomerID]],Customer_info!A:A,Customer_info!D:D)</f>
        <v>United Kingdom</v>
      </c>
      <c r="J86" s="13">
        <f>Table1[[#This Row],[Quantity]]*Table1[[#This Row],[UnitPrice]]</f>
        <v>2156.1000000000004</v>
      </c>
    </row>
    <row r="87" spans="1:10" x14ac:dyDescent="0.25">
      <c r="A87" s="2" t="s">
        <v>184</v>
      </c>
      <c r="B87" s="3">
        <v>45385</v>
      </c>
      <c r="C87" s="2" t="s">
        <v>185</v>
      </c>
      <c r="D87" s="2" t="s">
        <v>98</v>
      </c>
      <c r="E87" s="2">
        <v>2</v>
      </c>
      <c r="F87" s="10">
        <v>263.68</v>
      </c>
      <c r="G87" s="2" t="str">
        <f>_xlfn.XLOOKUP($D$1:$D$361,Products!$A$1:$A$41,Products!$C$1:$C$41)</f>
        <v>Electronics</v>
      </c>
      <c r="H87" s="2">
        <f>_xlfn.XLOOKUP(Sales!D:D,Products!A:A,Products!D:D)</f>
        <v>131.84</v>
      </c>
      <c r="I87" s="2" t="str">
        <f>_xlfn.XLOOKUP(Table1[[#This Row],[CustomerID]],Customer_info!A:A,Customer_info!D:D)</f>
        <v>India</v>
      </c>
      <c r="J87" s="13">
        <f>Table1[[#This Row],[Quantity]]*Table1[[#This Row],[UnitPrice]]</f>
        <v>263.68</v>
      </c>
    </row>
    <row r="88" spans="1:10" x14ac:dyDescent="0.25">
      <c r="A88" s="2" t="s">
        <v>186</v>
      </c>
      <c r="B88" s="3">
        <v>45309</v>
      </c>
      <c r="C88" s="2" t="s">
        <v>16</v>
      </c>
      <c r="D88" s="2" t="s">
        <v>152</v>
      </c>
      <c r="E88" s="2">
        <v>4</v>
      </c>
      <c r="F88" s="10">
        <v>1363.4</v>
      </c>
      <c r="G88" s="2" t="str">
        <f>_xlfn.XLOOKUP($D$1:$D$361,Products!$A$1:$A$41,Products!$C$1:$C$41)</f>
        <v>Electronics</v>
      </c>
      <c r="H88" s="2">
        <f>_xlfn.XLOOKUP(Sales!D:D,Products!A:A,Products!D:D)</f>
        <v>340.85</v>
      </c>
      <c r="I88" s="2" t="str">
        <f>_xlfn.XLOOKUP(Table1[[#This Row],[CustomerID]],Customer_info!A:A,Customer_info!D:D)</f>
        <v>Canada</v>
      </c>
      <c r="J88" s="13">
        <f>Table1[[#This Row],[Quantity]]*Table1[[#This Row],[UnitPrice]]</f>
        <v>1363.4</v>
      </c>
    </row>
    <row r="89" spans="1:10" x14ac:dyDescent="0.25">
      <c r="A89" s="2" t="s">
        <v>187</v>
      </c>
      <c r="B89" s="3">
        <v>45451</v>
      </c>
      <c r="C89" s="2" t="s">
        <v>188</v>
      </c>
      <c r="D89" s="2" t="s">
        <v>81</v>
      </c>
      <c r="E89" s="2">
        <v>3</v>
      </c>
      <c r="F89" s="10">
        <v>1299.8399999999999</v>
      </c>
      <c r="G89" s="2" t="str">
        <f>_xlfn.XLOOKUP($D$1:$D$361,Products!$A$1:$A$41,Products!$C$1:$C$41)</f>
        <v>Beauty</v>
      </c>
      <c r="H89" s="2">
        <f>_xlfn.XLOOKUP(Sales!D:D,Products!A:A,Products!D:D)</f>
        <v>433.28</v>
      </c>
      <c r="I89" s="2" t="str">
        <f>_xlfn.XLOOKUP(Table1[[#This Row],[CustomerID]],Customer_info!A:A,Customer_info!D:D)</f>
        <v>United Kingdom</v>
      </c>
      <c r="J89" s="13">
        <f>Table1[[#This Row],[Quantity]]*Table1[[#This Row],[UnitPrice]]</f>
        <v>1299.8399999999999</v>
      </c>
    </row>
    <row r="90" spans="1:10" x14ac:dyDescent="0.25">
      <c r="A90" s="2" t="s">
        <v>189</v>
      </c>
      <c r="B90" s="3">
        <v>45461</v>
      </c>
      <c r="C90" s="2" t="s">
        <v>46</v>
      </c>
      <c r="D90" s="2" t="s">
        <v>72</v>
      </c>
      <c r="E90" s="2">
        <v>3</v>
      </c>
      <c r="F90" s="10">
        <v>650.16</v>
      </c>
      <c r="G90" s="2" t="str">
        <f>_xlfn.XLOOKUP($D$1:$D$361,Products!$A$1:$A$41,Products!$C$1:$C$41)</f>
        <v>Clothing</v>
      </c>
      <c r="H90" s="2">
        <f>_xlfn.XLOOKUP(Sales!D:D,Products!A:A,Products!D:D)</f>
        <v>216.72</v>
      </c>
      <c r="I90" s="2" t="str">
        <f>_xlfn.XLOOKUP(Table1[[#This Row],[CustomerID]],Customer_info!A:A,Customer_info!D:D)</f>
        <v>United Kingdom</v>
      </c>
      <c r="J90" s="13">
        <f>Table1[[#This Row],[Quantity]]*Table1[[#This Row],[UnitPrice]]</f>
        <v>650.16</v>
      </c>
    </row>
    <row r="91" spans="1:10" x14ac:dyDescent="0.25">
      <c r="A91" s="2" t="s">
        <v>190</v>
      </c>
      <c r="B91" s="3">
        <v>45368</v>
      </c>
      <c r="C91" s="2" t="s">
        <v>22</v>
      </c>
      <c r="D91" s="2" t="s">
        <v>23</v>
      </c>
      <c r="E91" s="2">
        <v>1</v>
      </c>
      <c r="F91" s="10">
        <v>103.3</v>
      </c>
      <c r="G91" s="2" t="str">
        <f>_xlfn.XLOOKUP($D$1:$D$361,Products!$A$1:$A$41,Products!$C$1:$C$41)</f>
        <v>Beauty</v>
      </c>
      <c r="H91" s="2">
        <f>_xlfn.XLOOKUP(Sales!D:D,Products!A:A,Products!D:D)</f>
        <v>103.3</v>
      </c>
      <c r="I91" s="2" t="str">
        <f>_xlfn.XLOOKUP(Table1[[#This Row],[CustomerID]],Customer_info!A:A,Customer_info!D:D)</f>
        <v>United States</v>
      </c>
      <c r="J91" s="13">
        <f>Table1[[#This Row],[Quantity]]*Table1[[#This Row],[UnitPrice]]</f>
        <v>103.3</v>
      </c>
    </row>
    <row r="92" spans="1:10" x14ac:dyDescent="0.25">
      <c r="A92" s="2" t="s">
        <v>191</v>
      </c>
      <c r="B92" s="3">
        <v>45371</v>
      </c>
      <c r="C92" s="2" t="s">
        <v>62</v>
      </c>
      <c r="D92" s="2" t="s">
        <v>124</v>
      </c>
      <c r="E92" s="2">
        <v>5</v>
      </c>
      <c r="F92" s="10">
        <v>198.5</v>
      </c>
      <c r="G92" s="2" t="str">
        <f>_xlfn.XLOOKUP($D$1:$D$361,Products!$A$1:$A$41,Products!$C$1:$C$41)</f>
        <v>Electronics</v>
      </c>
      <c r="H92" s="2">
        <f>_xlfn.XLOOKUP(Sales!D:D,Products!A:A,Products!D:D)</f>
        <v>39.700000000000003</v>
      </c>
      <c r="I92" s="2" t="str">
        <f>_xlfn.XLOOKUP(Table1[[#This Row],[CustomerID]],Customer_info!A:A,Customer_info!D:D)</f>
        <v>Canada</v>
      </c>
      <c r="J92" s="13">
        <f>Table1[[#This Row],[Quantity]]*Table1[[#This Row],[UnitPrice]]</f>
        <v>198.5</v>
      </c>
    </row>
    <row r="93" spans="1:10" x14ac:dyDescent="0.25">
      <c r="A93" s="2" t="s">
        <v>192</v>
      </c>
      <c r="B93" s="3">
        <v>45375</v>
      </c>
      <c r="C93" s="2" t="s">
        <v>65</v>
      </c>
      <c r="D93" s="2" t="s">
        <v>35</v>
      </c>
      <c r="E93" s="2">
        <v>4</v>
      </c>
      <c r="F93" s="10">
        <v>1169.3599999999999</v>
      </c>
      <c r="G93" s="2" t="str">
        <f>_xlfn.XLOOKUP($D$1:$D$361,Products!$A$1:$A$41,Products!$C$1:$C$41)</f>
        <v>Sports</v>
      </c>
      <c r="H93" s="2">
        <f>_xlfn.XLOOKUP(Sales!D:D,Products!A:A,Products!D:D)</f>
        <v>292.33999999999997</v>
      </c>
      <c r="I93" s="2" t="str">
        <f>_xlfn.XLOOKUP(Table1[[#This Row],[CustomerID]],Customer_info!A:A,Customer_info!D:D)</f>
        <v>India</v>
      </c>
      <c r="J93" s="13">
        <f>Table1[[#This Row],[Quantity]]*Table1[[#This Row],[UnitPrice]]</f>
        <v>1169.3599999999999</v>
      </c>
    </row>
    <row r="94" spans="1:10" x14ac:dyDescent="0.25">
      <c r="A94" s="2" t="s">
        <v>193</v>
      </c>
      <c r="B94" s="3">
        <v>45470</v>
      </c>
      <c r="C94" s="2" t="s">
        <v>62</v>
      </c>
      <c r="D94" s="2" t="s">
        <v>98</v>
      </c>
      <c r="E94" s="2">
        <v>4</v>
      </c>
      <c r="F94" s="10">
        <v>527.36</v>
      </c>
      <c r="G94" s="2" t="str">
        <f>_xlfn.XLOOKUP($D$1:$D$361,Products!$A$1:$A$41,Products!$C$1:$C$41)</f>
        <v>Electronics</v>
      </c>
      <c r="H94" s="2">
        <f>_xlfn.XLOOKUP(Sales!D:D,Products!A:A,Products!D:D)</f>
        <v>131.84</v>
      </c>
      <c r="I94" s="2" t="str">
        <f>_xlfn.XLOOKUP(Table1[[#This Row],[CustomerID]],Customer_info!A:A,Customer_info!D:D)</f>
        <v>Canada</v>
      </c>
      <c r="J94" s="13">
        <f>Table1[[#This Row],[Quantity]]*Table1[[#This Row],[UnitPrice]]</f>
        <v>527.36</v>
      </c>
    </row>
    <row r="95" spans="1:10" x14ac:dyDescent="0.25">
      <c r="A95" s="2" t="s">
        <v>194</v>
      </c>
      <c r="B95" s="3">
        <v>45433</v>
      </c>
      <c r="C95" s="2" t="s">
        <v>195</v>
      </c>
      <c r="D95" s="2" t="s">
        <v>196</v>
      </c>
      <c r="E95" s="2">
        <v>3</v>
      </c>
      <c r="F95" s="10">
        <v>737.61</v>
      </c>
      <c r="G95" s="2" t="str">
        <f>_xlfn.XLOOKUP($D$1:$D$361,Products!$A$1:$A$41,Products!$C$1:$C$41)</f>
        <v>Beauty</v>
      </c>
      <c r="H95" s="2">
        <f>_xlfn.XLOOKUP(Sales!D:D,Products!A:A,Products!D:D)</f>
        <v>245.87</v>
      </c>
      <c r="I95" s="2" t="str">
        <f>_xlfn.XLOOKUP(Table1[[#This Row],[CustomerID]],Customer_info!A:A,Customer_info!D:D)</f>
        <v>United Kingdom</v>
      </c>
      <c r="J95" s="13">
        <f>Table1[[#This Row],[Quantity]]*Table1[[#This Row],[UnitPrice]]</f>
        <v>737.61</v>
      </c>
    </row>
    <row r="96" spans="1:10" x14ac:dyDescent="0.25">
      <c r="A96" s="2" t="s">
        <v>197</v>
      </c>
      <c r="B96" s="3">
        <v>45341</v>
      </c>
      <c r="C96" s="2" t="s">
        <v>198</v>
      </c>
      <c r="D96" s="2" t="s">
        <v>81</v>
      </c>
      <c r="E96" s="2">
        <v>2</v>
      </c>
      <c r="F96" s="10">
        <v>866.56</v>
      </c>
      <c r="G96" s="2" t="str">
        <f>_xlfn.XLOOKUP($D$1:$D$361,Products!$A$1:$A$41,Products!$C$1:$C$41)</f>
        <v>Beauty</v>
      </c>
      <c r="H96" s="2">
        <f>_xlfn.XLOOKUP(Sales!D:D,Products!A:A,Products!D:D)</f>
        <v>433.28</v>
      </c>
      <c r="I96" s="2" t="str">
        <f>_xlfn.XLOOKUP(Table1[[#This Row],[CustomerID]],Customer_info!A:A,Customer_info!D:D)</f>
        <v>United Kingdom</v>
      </c>
      <c r="J96" s="13">
        <f>Table1[[#This Row],[Quantity]]*Table1[[#This Row],[UnitPrice]]</f>
        <v>866.56</v>
      </c>
    </row>
    <row r="97" spans="1:10" x14ac:dyDescent="0.25">
      <c r="A97" s="2" t="s">
        <v>199</v>
      </c>
      <c r="B97" s="3">
        <v>45462</v>
      </c>
      <c r="C97" s="2" t="s">
        <v>180</v>
      </c>
      <c r="D97" s="2" t="s">
        <v>196</v>
      </c>
      <c r="E97" s="2">
        <v>4</v>
      </c>
      <c r="F97" s="10">
        <v>983.48</v>
      </c>
      <c r="G97" s="2" t="str">
        <f>_xlfn.XLOOKUP($D$1:$D$361,Products!$A$1:$A$41,Products!$C$1:$C$41)</f>
        <v>Beauty</v>
      </c>
      <c r="H97" s="2">
        <f>_xlfn.XLOOKUP(Sales!D:D,Products!A:A,Products!D:D)</f>
        <v>245.87</v>
      </c>
      <c r="I97" s="2" t="str">
        <f>_xlfn.XLOOKUP(Table1[[#This Row],[CustomerID]],Customer_info!A:A,Customer_info!D:D)</f>
        <v>United Kingdom</v>
      </c>
      <c r="J97" s="13">
        <f>Table1[[#This Row],[Quantity]]*Table1[[#This Row],[UnitPrice]]</f>
        <v>983.48</v>
      </c>
    </row>
    <row r="98" spans="1:10" x14ac:dyDescent="0.25">
      <c r="A98" s="2" t="s">
        <v>200</v>
      </c>
      <c r="B98" s="3">
        <v>45465</v>
      </c>
      <c r="C98" s="2" t="s">
        <v>111</v>
      </c>
      <c r="D98" s="2" t="s">
        <v>108</v>
      </c>
      <c r="E98" s="2">
        <v>4</v>
      </c>
      <c r="F98" s="10">
        <v>197</v>
      </c>
      <c r="G98" s="2" t="str">
        <f>_xlfn.XLOOKUP($D$1:$D$361,Products!$A$1:$A$41,Products!$C$1:$C$41)</f>
        <v>Sports</v>
      </c>
      <c r="H98" s="2">
        <f>_xlfn.XLOOKUP(Sales!D:D,Products!A:A,Products!D:D)</f>
        <v>49.25</v>
      </c>
      <c r="I98" s="2" t="str">
        <f>_xlfn.XLOOKUP(Table1[[#This Row],[CustomerID]],Customer_info!A:A,Customer_info!D:D)</f>
        <v>United Kingdom</v>
      </c>
      <c r="J98" s="13">
        <f>Table1[[#This Row],[Quantity]]*Table1[[#This Row],[UnitPrice]]</f>
        <v>197</v>
      </c>
    </row>
    <row r="99" spans="1:10" x14ac:dyDescent="0.25">
      <c r="A99" s="2" t="s">
        <v>201</v>
      </c>
      <c r="B99" s="3">
        <v>45449</v>
      </c>
      <c r="C99" s="2" t="s">
        <v>202</v>
      </c>
      <c r="D99" s="2" t="s">
        <v>49</v>
      </c>
      <c r="E99" s="2">
        <v>2</v>
      </c>
      <c r="F99" s="10">
        <v>587.6</v>
      </c>
      <c r="G99" s="2" t="str">
        <f>_xlfn.XLOOKUP($D$1:$D$361,Products!$A$1:$A$41,Products!$C$1:$C$41)</f>
        <v>Electronics</v>
      </c>
      <c r="H99" s="2">
        <f>_xlfn.XLOOKUP(Sales!D:D,Products!A:A,Products!D:D)</f>
        <v>293.8</v>
      </c>
      <c r="I99" s="2" t="str">
        <f>_xlfn.XLOOKUP(Table1[[#This Row],[CustomerID]],Customer_info!A:A,Customer_info!D:D)</f>
        <v>India</v>
      </c>
      <c r="J99" s="13">
        <f>Table1[[#This Row],[Quantity]]*Table1[[#This Row],[UnitPrice]]</f>
        <v>587.6</v>
      </c>
    </row>
    <row r="100" spans="1:10" x14ac:dyDescent="0.25">
      <c r="A100" s="2" t="s">
        <v>203</v>
      </c>
      <c r="B100" s="3">
        <v>45369</v>
      </c>
      <c r="C100" s="2" t="s">
        <v>135</v>
      </c>
      <c r="D100" s="2" t="s">
        <v>146</v>
      </c>
      <c r="E100" s="2">
        <v>5</v>
      </c>
      <c r="F100" s="10">
        <v>1664.5</v>
      </c>
      <c r="G100" s="2" t="str">
        <f>_xlfn.XLOOKUP($D$1:$D$361,Products!$A$1:$A$41,Products!$C$1:$C$41)</f>
        <v>Electronics</v>
      </c>
      <c r="H100" s="2">
        <f>_xlfn.XLOOKUP(Sales!D:D,Products!A:A,Products!D:D)</f>
        <v>332.9</v>
      </c>
      <c r="I100" s="2" t="str">
        <f>_xlfn.XLOOKUP(Table1[[#This Row],[CustomerID]],Customer_info!A:A,Customer_info!D:D)</f>
        <v>India</v>
      </c>
      <c r="J100" s="13">
        <f>Table1[[#This Row],[Quantity]]*Table1[[#This Row],[UnitPrice]]</f>
        <v>1664.5</v>
      </c>
    </row>
    <row r="101" spans="1:10" x14ac:dyDescent="0.25">
      <c r="A101" s="2" t="s">
        <v>204</v>
      </c>
      <c r="B101" s="3">
        <v>45432</v>
      </c>
      <c r="C101" s="2" t="s">
        <v>83</v>
      </c>
      <c r="D101" s="2" t="s">
        <v>129</v>
      </c>
      <c r="E101" s="2">
        <v>4</v>
      </c>
      <c r="F101" s="10">
        <v>466.68</v>
      </c>
      <c r="G101" s="2" t="str">
        <f>_xlfn.XLOOKUP($D$1:$D$361,Products!$A$1:$A$41,Products!$C$1:$C$41)</f>
        <v>Home</v>
      </c>
      <c r="H101" s="2">
        <f>_xlfn.XLOOKUP(Sales!D:D,Products!A:A,Products!D:D)</f>
        <v>116.67</v>
      </c>
      <c r="I101" s="2" t="str">
        <f>_xlfn.XLOOKUP(Table1[[#This Row],[CustomerID]],Customer_info!A:A,Customer_info!D:D)</f>
        <v>United Kingdom</v>
      </c>
      <c r="J101" s="13">
        <f>Table1[[#This Row],[Quantity]]*Table1[[#This Row],[UnitPrice]]</f>
        <v>466.68</v>
      </c>
    </row>
    <row r="102" spans="1:10" x14ac:dyDescent="0.25">
      <c r="A102" s="2" t="s">
        <v>205</v>
      </c>
      <c r="B102" s="3">
        <v>45369</v>
      </c>
      <c r="C102" s="2" t="s">
        <v>206</v>
      </c>
      <c r="D102" s="2" t="s">
        <v>49</v>
      </c>
      <c r="E102" s="2">
        <v>1</v>
      </c>
      <c r="F102" s="10">
        <v>293.8</v>
      </c>
      <c r="G102" s="2" t="str">
        <f>_xlfn.XLOOKUP($D$1:$D$361,Products!$A$1:$A$41,Products!$C$1:$C$41)</f>
        <v>Electronics</v>
      </c>
      <c r="H102" s="2">
        <f>_xlfn.XLOOKUP(Sales!D:D,Products!A:A,Products!D:D)</f>
        <v>293.8</v>
      </c>
      <c r="I102" s="2" t="str">
        <f>_xlfn.XLOOKUP(Table1[[#This Row],[CustomerID]],Customer_info!A:A,Customer_info!D:D)</f>
        <v>Canada</v>
      </c>
      <c r="J102" s="13">
        <f>Table1[[#This Row],[Quantity]]*Table1[[#This Row],[UnitPrice]]</f>
        <v>293.8</v>
      </c>
    </row>
    <row r="103" spans="1:10" x14ac:dyDescent="0.25">
      <c r="A103" s="2" t="s">
        <v>207</v>
      </c>
      <c r="B103" s="3">
        <v>45345</v>
      </c>
      <c r="C103" s="2" t="s">
        <v>97</v>
      </c>
      <c r="D103" s="2" t="s">
        <v>8</v>
      </c>
      <c r="E103" s="2">
        <v>3</v>
      </c>
      <c r="F103" s="10">
        <v>1258.95</v>
      </c>
      <c r="G103" s="2" t="str">
        <f>_xlfn.XLOOKUP($D$1:$D$361,Products!$A$1:$A$41,Products!$C$1:$C$41)</f>
        <v>Sports</v>
      </c>
      <c r="H103" s="2">
        <f>_xlfn.XLOOKUP(Sales!D:D,Products!A:A,Products!D:D)</f>
        <v>419.65</v>
      </c>
      <c r="I103" s="2" t="str">
        <f>_xlfn.XLOOKUP(Table1[[#This Row],[CustomerID]],Customer_info!A:A,Customer_info!D:D)</f>
        <v>United States</v>
      </c>
      <c r="J103" s="13">
        <f>Table1[[#This Row],[Quantity]]*Table1[[#This Row],[UnitPrice]]</f>
        <v>1258.9499999999998</v>
      </c>
    </row>
    <row r="104" spans="1:10" x14ac:dyDescent="0.25">
      <c r="A104" s="2" t="s">
        <v>208</v>
      </c>
      <c r="B104" s="3">
        <v>45440</v>
      </c>
      <c r="C104" s="2" t="s">
        <v>209</v>
      </c>
      <c r="D104" s="2" t="s">
        <v>14</v>
      </c>
      <c r="E104" s="2">
        <v>4</v>
      </c>
      <c r="F104" s="10">
        <v>946.76</v>
      </c>
      <c r="G104" s="2" t="str">
        <f>_xlfn.XLOOKUP($D$1:$D$361,Products!$A$1:$A$41,Products!$C$1:$C$41)</f>
        <v>Home</v>
      </c>
      <c r="H104" s="2">
        <f>_xlfn.XLOOKUP(Sales!D:D,Products!A:A,Products!D:D)</f>
        <v>236.69</v>
      </c>
      <c r="I104" s="2" t="str">
        <f>_xlfn.XLOOKUP(Table1[[#This Row],[CustomerID]],Customer_info!A:A,Customer_info!D:D)</f>
        <v>India</v>
      </c>
      <c r="J104" s="13">
        <f>Table1[[#This Row],[Quantity]]*Table1[[#This Row],[UnitPrice]]</f>
        <v>946.76</v>
      </c>
    </row>
    <row r="105" spans="1:10" x14ac:dyDescent="0.25">
      <c r="A105" s="2" t="s">
        <v>210</v>
      </c>
      <c r="B105" s="3">
        <v>45459</v>
      </c>
      <c r="C105" s="2" t="s">
        <v>211</v>
      </c>
      <c r="D105" s="2" t="s">
        <v>148</v>
      </c>
      <c r="E105" s="2">
        <v>5</v>
      </c>
      <c r="F105" s="10">
        <v>1699.75</v>
      </c>
      <c r="G105" s="2" t="str">
        <f>_xlfn.XLOOKUP($D$1:$D$361,Products!$A$1:$A$41,Products!$C$1:$C$41)</f>
        <v>Electronics</v>
      </c>
      <c r="H105" s="2">
        <f>_xlfn.XLOOKUP(Sales!D:D,Products!A:A,Products!D:D)</f>
        <v>339.95</v>
      </c>
      <c r="I105" s="2" t="str">
        <f>_xlfn.XLOOKUP(Table1[[#This Row],[CustomerID]],Customer_info!A:A,Customer_info!D:D)</f>
        <v>United States</v>
      </c>
      <c r="J105" s="13">
        <f>Table1[[#This Row],[Quantity]]*Table1[[#This Row],[UnitPrice]]</f>
        <v>1699.75</v>
      </c>
    </row>
    <row r="106" spans="1:10" x14ac:dyDescent="0.25">
      <c r="A106" s="2" t="s">
        <v>212</v>
      </c>
      <c r="B106" s="3">
        <v>45411</v>
      </c>
      <c r="C106" s="2" t="s">
        <v>97</v>
      </c>
      <c r="D106" s="2" t="s">
        <v>98</v>
      </c>
      <c r="E106" s="2">
        <v>3</v>
      </c>
      <c r="F106" s="10">
        <v>395.52</v>
      </c>
      <c r="G106" s="2" t="str">
        <f>_xlfn.XLOOKUP($D$1:$D$361,Products!$A$1:$A$41,Products!$C$1:$C$41)</f>
        <v>Electronics</v>
      </c>
      <c r="H106" s="2">
        <f>_xlfn.XLOOKUP(Sales!D:D,Products!A:A,Products!D:D)</f>
        <v>131.84</v>
      </c>
      <c r="I106" s="2" t="str">
        <f>_xlfn.XLOOKUP(Table1[[#This Row],[CustomerID]],Customer_info!A:A,Customer_info!D:D)</f>
        <v>United States</v>
      </c>
      <c r="J106" s="13">
        <f>Table1[[#This Row],[Quantity]]*Table1[[#This Row],[UnitPrice]]</f>
        <v>395.52</v>
      </c>
    </row>
    <row r="107" spans="1:10" x14ac:dyDescent="0.25">
      <c r="A107" s="2" t="s">
        <v>213</v>
      </c>
      <c r="B107" s="3">
        <v>45405</v>
      </c>
      <c r="C107" s="2" t="s">
        <v>214</v>
      </c>
      <c r="D107" s="2" t="s">
        <v>60</v>
      </c>
      <c r="E107" s="2">
        <v>4</v>
      </c>
      <c r="F107" s="10">
        <v>365.96</v>
      </c>
      <c r="G107" s="2" t="str">
        <f>_xlfn.XLOOKUP($D$1:$D$361,Products!$A$1:$A$41,Products!$C$1:$C$41)</f>
        <v>Clothing</v>
      </c>
      <c r="H107" s="2">
        <f>_xlfn.XLOOKUP(Sales!D:D,Products!A:A,Products!D:D)</f>
        <v>91.49</v>
      </c>
      <c r="I107" s="2" t="str">
        <f>_xlfn.XLOOKUP(Table1[[#This Row],[CustomerID]],Customer_info!A:A,Customer_info!D:D)</f>
        <v>United Kingdom</v>
      </c>
      <c r="J107" s="13">
        <f>Table1[[#This Row],[Quantity]]*Table1[[#This Row],[UnitPrice]]</f>
        <v>365.96</v>
      </c>
    </row>
    <row r="108" spans="1:10" x14ac:dyDescent="0.25">
      <c r="A108" s="2" t="s">
        <v>215</v>
      </c>
      <c r="B108" s="3">
        <v>45422</v>
      </c>
      <c r="C108" s="2" t="s">
        <v>30</v>
      </c>
      <c r="D108" s="2" t="s">
        <v>55</v>
      </c>
      <c r="E108" s="2">
        <v>2</v>
      </c>
      <c r="F108" s="10">
        <v>261.3</v>
      </c>
      <c r="G108" s="2" t="str">
        <f>_xlfn.XLOOKUP($D$1:$D$361,Products!$A$1:$A$41,Products!$C$1:$C$41)</f>
        <v>Sports</v>
      </c>
      <c r="H108" s="2">
        <f>_xlfn.XLOOKUP(Sales!D:D,Products!A:A,Products!D:D)</f>
        <v>130.65</v>
      </c>
      <c r="I108" s="2" t="str">
        <f>_xlfn.XLOOKUP(Table1[[#This Row],[CustomerID]],Customer_info!A:A,Customer_info!D:D)</f>
        <v>United Kingdom</v>
      </c>
      <c r="J108" s="13">
        <f>Table1[[#This Row],[Quantity]]*Table1[[#This Row],[UnitPrice]]</f>
        <v>261.3</v>
      </c>
    </row>
    <row r="109" spans="1:10" x14ac:dyDescent="0.25">
      <c r="A109" s="2" t="s">
        <v>216</v>
      </c>
      <c r="B109" s="3">
        <v>45335</v>
      </c>
      <c r="C109" s="2" t="s">
        <v>10</v>
      </c>
      <c r="D109" s="2" t="s">
        <v>72</v>
      </c>
      <c r="E109" s="2">
        <v>4</v>
      </c>
      <c r="F109" s="10">
        <v>866.88</v>
      </c>
      <c r="G109" s="2" t="str">
        <f>_xlfn.XLOOKUP($D$1:$D$361,Products!$A$1:$A$41,Products!$C$1:$C$41)</f>
        <v>Clothing</v>
      </c>
      <c r="H109" s="2">
        <f>_xlfn.XLOOKUP(Sales!D:D,Products!A:A,Products!D:D)</f>
        <v>216.72</v>
      </c>
      <c r="I109" s="2" t="str">
        <f>_xlfn.XLOOKUP(Table1[[#This Row],[CustomerID]],Customer_info!A:A,Customer_info!D:D)</f>
        <v>India</v>
      </c>
      <c r="J109" s="13">
        <f>Table1[[#This Row],[Quantity]]*Table1[[#This Row],[UnitPrice]]</f>
        <v>866.88</v>
      </c>
    </row>
    <row r="110" spans="1:10" x14ac:dyDescent="0.25">
      <c r="A110" s="2" t="s">
        <v>217</v>
      </c>
      <c r="B110" s="3">
        <v>45364</v>
      </c>
      <c r="C110" s="2" t="s">
        <v>218</v>
      </c>
      <c r="D110" s="2" t="s">
        <v>44</v>
      </c>
      <c r="E110" s="2">
        <v>1</v>
      </c>
      <c r="F110" s="10">
        <v>272.77999999999997</v>
      </c>
      <c r="G110" s="2" t="str">
        <f>_xlfn.XLOOKUP($D$1:$D$361,Products!$A$1:$A$41,Products!$C$1:$C$41)</f>
        <v>Clothing</v>
      </c>
      <c r="H110" s="2">
        <f>_xlfn.XLOOKUP(Sales!D:D,Products!A:A,Products!D:D)</f>
        <v>272.77999999999997</v>
      </c>
      <c r="I110" s="2" t="str">
        <f>_xlfn.XLOOKUP(Table1[[#This Row],[CustomerID]],Customer_info!A:A,Customer_info!D:D)</f>
        <v>United States</v>
      </c>
      <c r="J110" s="13">
        <f>Table1[[#This Row],[Quantity]]*Table1[[#This Row],[UnitPrice]]</f>
        <v>272.77999999999997</v>
      </c>
    </row>
    <row r="111" spans="1:10" x14ac:dyDescent="0.25">
      <c r="A111" s="2" t="s">
        <v>219</v>
      </c>
      <c r="B111" s="3">
        <v>45461</v>
      </c>
      <c r="C111" s="2" t="s">
        <v>182</v>
      </c>
      <c r="D111" s="2" t="s">
        <v>196</v>
      </c>
      <c r="E111" s="2">
        <v>5</v>
      </c>
      <c r="F111" s="10">
        <v>1229.3499999999999</v>
      </c>
      <c r="G111" s="2" t="str">
        <f>_xlfn.XLOOKUP($D$1:$D$361,Products!$A$1:$A$41,Products!$C$1:$C$41)</f>
        <v>Beauty</v>
      </c>
      <c r="H111" s="2">
        <f>_xlfn.XLOOKUP(Sales!D:D,Products!A:A,Products!D:D)</f>
        <v>245.87</v>
      </c>
      <c r="I111" s="2" t="str">
        <f>_xlfn.XLOOKUP(Table1[[#This Row],[CustomerID]],Customer_info!A:A,Customer_info!D:D)</f>
        <v>Canada</v>
      </c>
      <c r="J111" s="13">
        <f>Table1[[#This Row],[Quantity]]*Table1[[#This Row],[UnitPrice]]</f>
        <v>1229.3499999999999</v>
      </c>
    </row>
    <row r="112" spans="1:10" x14ac:dyDescent="0.25">
      <c r="A112" s="2" t="s">
        <v>220</v>
      </c>
      <c r="B112" s="3">
        <v>45377</v>
      </c>
      <c r="C112" s="2" t="s">
        <v>111</v>
      </c>
      <c r="D112" s="2" t="s">
        <v>68</v>
      </c>
      <c r="E112" s="2">
        <v>5</v>
      </c>
      <c r="F112" s="10">
        <v>2011.45</v>
      </c>
      <c r="G112" s="2" t="str">
        <f>_xlfn.XLOOKUP($D$1:$D$361,Products!$A$1:$A$41,Products!$C$1:$C$41)</f>
        <v>Home</v>
      </c>
      <c r="H112" s="2">
        <f>_xlfn.XLOOKUP(Sales!D:D,Products!A:A,Products!D:D)</f>
        <v>402.29</v>
      </c>
      <c r="I112" s="2" t="str">
        <f>_xlfn.XLOOKUP(Table1[[#This Row],[CustomerID]],Customer_info!A:A,Customer_info!D:D)</f>
        <v>United Kingdom</v>
      </c>
      <c r="J112" s="13">
        <f>Table1[[#This Row],[Quantity]]*Table1[[#This Row],[UnitPrice]]</f>
        <v>2011.45</v>
      </c>
    </row>
    <row r="113" spans="1:10" x14ac:dyDescent="0.25">
      <c r="A113" s="2" t="s">
        <v>221</v>
      </c>
      <c r="B113" s="3">
        <v>45352</v>
      </c>
      <c r="C113" s="2" t="s">
        <v>222</v>
      </c>
      <c r="D113" s="2" t="s">
        <v>28</v>
      </c>
      <c r="E113" s="2">
        <v>1</v>
      </c>
      <c r="F113" s="10">
        <v>452.2</v>
      </c>
      <c r="G113" s="2" t="str">
        <f>_xlfn.XLOOKUP($D$1:$D$361,Products!$A$1:$A$41,Products!$C$1:$C$41)</f>
        <v>Beauty</v>
      </c>
      <c r="H113" s="2">
        <f>_xlfn.XLOOKUP(Sales!D:D,Products!A:A,Products!D:D)</f>
        <v>452.2</v>
      </c>
      <c r="I113" s="2" t="str">
        <f>_xlfn.XLOOKUP(Table1[[#This Row],[CustomerID]],Customer_info!A:A,Customer_info!D:D)</f>
        <v>India</v>
      </c>
      <c r="J113" s="13">
        <f>Table1[[#This Row],[Quantity]]*Table1[[#This Row],[UnitPrice]]</f>
        <v>452.2</v>
      </c>
    </row>
    <row r="114" spans="1:10" x14ac:dyDescent="0.25">
      <c r="A114" s="2" t="s">
        <v>223</v>
      </c>
      <c r="B114" s="3">
        <v>45349</v>
      </c>
      <c r="C114" s="2" t="s">
        <v>188</v>
      </c>
      <c r="D114" s="2" t="s">
        <v>28</v>
      </c>
      <c r="E114" s="2">
        <v>3</v>
      </c>
      <c r="F114" s="10">
        <v>1356.6</v>
      </c>
      <c r="G114" s="2" t="str">
        <f>_xlfn.XLOOKUP($D$1:$D$361,Products!$A$1:$A$41,Products!$C$1:$C$41)</f>
        <v>Beauty</v>
      </c>
      <c r="H114" s="2">
        <f>_xlfn.XLOOKUP(Sales!D:D,Products!A:A,Products!D:D)</f>
        <v>452.2</v>
      </c>
      <c r="I114" s="2" t="str">
        <f>_xlfn.XLOOKUP(Table1[[#This Row],[CustomerID]],Customer_info!A:A,Customer_info!D:D)</f>
        <v>United Kingdom</v>
      </c>
      <c r="J114" s="13">
        <f>Table1[[#This Row],[Quantity]]*Table1[[#This Row],[UnitPrice]]</f>
        <v>1356.6</v>
      </c>
    </row>
    <row r="115" spans="1:10" x14ac:dyDescent="0.25">
      <c r="A115" s="2" t="s">
        <v>224</v>
      </c>
      <c r="B115" s="3">
        <v>45329</v>
      </c>
      <c r="C115" s="2" t="s">
        <v>198</v>
      </c>
      <c r="D115" s="2" t="s">
        <v>225</v>
      </c>
      <c r="E115" s="2">
        <v>2</v>
      </c>
      <c r="F115" s="10">
        <v>927.84</v>
      </c>
      <c r="G115" s="2" t="str">
        <f>_xlfn.XLOOKUP($D$1:$D$361,Products!$A$1:$A$41,Products!$C$1:$C$41)</f>
        <v>Electronics</v>
      </c>
      <c r="H115" s="2">
        <f>_xlfn.XLOOKUP(Sales!D:D,Products!A:A,Products!D:D)</f>
        <v>463.92</v>
      </c>
      <c r="I115" s="2" t="str">
        <f>_xlfn.XLOOKUP(Table1[[#This Row],[CustomerID]],Customer_info!A:A,Customer_info!D:D)</f>
        <v>United Kingdom</v>
      </c>
      <c r="J115" s="13">
        <f>Table1[[#This Row],[Quantity]]*Table1[[#This Row],[UnitPrice]]</f>
        <v>927.84</v>
      </c>
    </row>
    <row r="116" spans="1:10" x14ac:dyDescent="0.25">
      <c r="A116" s="2" t="s">
        <v>226</v>
      </c>
      <c r="B116" s="3">
        <v>45303</v>
      </c>
      <c r="C116" s="2" t="s">
        <v>131</v>
      </c>
      <c r="D116" s="2" t="s">
        <v>98</v>
      </c>
      <c r="E116" s="2">
        <v>1</v>
      </c>
      <c r="F116" s="10">
        <v>131.84</v>
      </c>
      <c r="G116" s="2" t="str">
        <f>_xlfn.XLOOKUP($D$1:$D$361,Products!$A$1:$A$41,Products!$C$1:$C$41)</f>
        <v>Electronics</v>
      </c>
      <c r="H116" s="2">
        <f>_xlfn.XLOOKUP(Sales!D:D,Products!A:A,Products!D:D)</f>
        <v>131.84</v>
      </c>
      <c r="I116" s="2" t="str">
        <f>_xlfn.XLOOKUP(Table1[[#This Row],[CustomerID]],Customer_info!A:A,Customer_info!D:D)</f>
        <v>Canada</v>
      </c>
      <c r="J116" s="13">
        <f>Table1[[#This Row],[Quantity]]*Table1[[#This Row],[UnitPrice]]</f>
        <v>131.84</v>
      </c>
    </row>
    <row r="117" spans="1:10" x14ac:dyDescent="0.25">
      <c r="A117" s="2" t="s">
        <v>227</v>
      </c>
      <c r="B117" s="3">
        <v>45413</v>
      </c>
      <c r="C117" s="2" t="s">
        <v>120</v>
      </c>
      <c r="D117" s="2" t="s">
        <v>63</v>
      </c>
      <c r="E117" s="2">
        <v>2</v>
      </c>
      <c r="F117" s="10">
        <v>115.96</v>
      </c>
      <c r="G117" s="2" t="str">
        <f>_xlfn.XLOOKUP($D$1:$D$361,Products!$A$1:$A$41,Products!$C$1:$C$41)</f>
        <v>Sports</v>
      </c>
      <c r="H117" s="2">
        <f>_xlfn.XLOOKUP(Sales!D:D,Products!A:A,Products!D:D)</f>
        <v>57.98</v>
      </c>
      <c r="I117" s="2" t="str">
        <f>_xlfn.XLOOKUP(Table1[[#This Row],[CustomerID]],Customer_info!A:A,Customer_info!D:D)</f>
        <v>United Kingdom</v>
      </c>
      <c r="J117" s="13">
        <f>Table1[[#This Row],[Quantity]]*Table1[[#This Row],[UnitPrice]]</f>
        <v>115.96</v>
      </c>
    </row>
    <row r="118" spans="1:10" x14ac:dyDescent="0.25">
      <c r="A118" s="2" t="s">
        <v>228</v>
      </c>
      <c r="B118" s="3">
        <v>45310</v>
      </c>
      <c r="C118" s="2" t="s">
        <v>229</v>
      </c>
      <c r="D118" s="2" t="s">
        <v>132</v>
      </c>
      <c r="E118" s="2">
        <v>5</v>
      </c>
      <c r="F118" s="10">
        <v>1689</v>
      </c>
      <c r="G118" s="2" t="str">
        <f>_xlfn.XLOOKUP($D$1:$D$361,Products!$A$1:$A$41,Products!$C$1:$C$41)</f>
        <v>Home</v>
      </c>
      <c r="H118" s="2">
        <f>_xlfn.XLOOKUP(Sales!D:D,Products!A:A,Products!D:D)</f>
        <v>337.8</v>
      </c>
      <c r="I118" s="2" t="str">
        <f>_xlfn.XLOOKUP(Table1[[#This Row],[CustomerID]],Customer_info!A:A,Customer_info!D:D)</f>
        <v>United Kingdom</v>
      </c>
      <c r="J118" s="13">
        <f>Table1[[#This Row],[Quantity]]*Table1[[#This Row],[UnitPrice]]</f>
        <v>1689</v>
      </c>
    </row>
    <row r="119" spans="1:10" x14ac:dyDescent="0.25">
      <c r="A119" s="2" t="s">
        <v>230</v>
      </c>
      <c r="B119" s="3">
        <v>45398</v>
      </c>
      <c r="C119" s="2" t="s">
        <v>95</v>
      </c>
      <c r="D119" s="2" t="s">
        <v>231</v>
      </c>
      <c r="E119" s="2">
        <v>4</v>
      </c>
      <c r="F119" s="10">
        <v>974.52</v>
      </c>
      <c r="G119" s="2" t="str">
        <f>_xlfn.XLOOKUP($D$1:$D$361,Products!$A$1:$A$41,Products!$C$1:$C$41)</f>
        <v>Sports</v>
      </c>
      <c r="H119" s="2">
        <f>_xlfn.XLOOKUP(Sales!D:D,Products!A:A,Products!D:D)</f>
        <v>243.63</v>
      </c>
      <c r="I119" s="2" t="str">
        <f>_xlfn.XLOOKUP(Table1[[#This Row],[CustomerID]],Customer_info!A:A,Customer_info!D:D)</f>
        <v>United Kingdom</v>
      </c>
      <c r="J119" s="13">
        <f>Table1[[#This Row],[Quantity]]*Table1[[#This Row],[UnitPrice]]</f>
        <v>974.52</v>
      </c>
    </row>
    <row r="120" spans="1:10" x14ac:dyDescent="0.25">
      <c r="A120" s="2" t="s">
        <v>232</v>
      </c>
      <c r="B120" s="3">
        <v>45341</v>
      </c>
      <c r="C120" s="2" t="s">
        <v>233</v>
      </c>
      <c r="D120" s="2" t="s">
        <v>72</v>
      </c>
      <c r="E120" s="2">
        <v>5</v>
      </c>
      <c r="F120" s="10">
        <v>1083.5999999999999</v>
      </c>
      <c r="G120" s="2" t="str">
        <f>_xlfn.XLOOKUP($D$1:$D$361,Products!$A$1:$A$41,Products!$C$1:$C$41)</f>
        <v>Clothing</v>
      </c>
      <c r="H120" s="2">
        <f>_xlfn.XLOOKUP(Sales!D:D,Products!A:A,Products!D:D)</f>
        <v>216.72</v>
      </c>
      <c r="I120" s="2" t="str">
        <f>_xlfn.XLOOKUP(Table1[[#This Row],[CustomerID]],Customer_info!A:A,Customer_info!D:D)</f>
        <v>India</v>
      </c>
      <c r="J120" s="13">
        <f>Table1[[#This Row],[Quantity]]*Table1[[#This Row],[UnitPrice]]</f>
        <v>1083.5999999999999</v>
      </c>
    </row>
    <row r="121" spans="1:10" x14ac:dyDescent="0.25">
      <c r="A121" s="2" t="s">
        <v>234</v>
      </c>
      <c r="B121" s="3">
        <v>45418</v>
      </c>
      <c r="C121" s="2" t="s">
        <v>235</v>
      </c>
      <c r="D121" s="2" t="s">
        <v>124</v>
      </c>
      <c r="E121" s="2">
        <v>4</v>
      </c>
      <c r="F121" s="10">
        <v>158.80000000000001</v>
      </c>
      <c r="G121" s="2" t="str">
        <f>_xlfn.XLOOKUP($D$1:$D$361,Products!$A$1:$A$41,Products!$C$1:$C$41)</f>
        <v>Electronics</v>
      </c>
      <c r="H121" s="2">
        <f>_xlfn.XLOOKUP(Sales!D:D,Products!A:A,Products!D:D)</f>
        <v>39.700000000000003</v>
      </c>
      <c r="I121" s="2" t="str">
        <f>_xlfn.XLOOKUP(Table1[[#This Row],[CustomerID]],Customer_info!A:A,Customer_info!D:D)</f>
        <v>United States</v>
      </c>
      <c r="J121" s="13">
        <f>Table1[[#This Row],[Quantity]]*Table1[[#This Row],[UnitPrice]]</f>
        <v>158.80000000000001</v>
      </c>
    </row>
    <row r="122" spans="1:10" x14ac:dyDescent="0.25">
      <c r="A122" s="2" t="s">
        <v>236</v>
      </c>
      <c r="B122" s="3">
        <v>45354</v>
      </c>
      <c r="C122" s="2" t="s">
        <v>116</v>
      </c>
      <c r="D122" s="2" t="s">
        <v>146</v>
      </c>
      <c r="E122" s="2">
        <v>4</v>
      </c>
      <c r="F122" s="10">
        <v>1331.6</v>
      </c>
      <c r="G122" s="2" t="str">
        <f>_xlfn.XLOOKUP($D$1:$D$361,Products!$A$1:$A$41,Products!$C$1:$C$41)</f>
        <v>Electronics</v>
      </c>
      <c r="H122" s="2">
        <f>_xlfn.XLOOKUP(Sales!D:D,Products!A:A,Products!D:D)</f>
        <v>332.9</v>
      </c>
      <c r="I122" s="2" t="str">
        <f>_xlfn.XLOOKUP(Table1[[#This Row],[CustomerID]],Customer_info!A:A,Customer_info!D:D)</f>
        <v>United Kingdom</v>
      </c>
      <c r="J122" s="13">
        <f>Table1[[#This Row],[Quantity]]*Table1[[#This Row],[UnitPrice]]</f>
        <v>1331.6</v>
      </c>
    </row>
    <row r="123" spans="1:10" x14ac:dyDescent="0.25">
      <c r="A123" s="2" t="s">
        <v>237</v>
      </c>
      <c r="B123" s="3">
        <v>45459</v>
      </c>
      <c r="C123" s="2" t="s">
        <v>238</v>
      </c>
      <c r="D123" s="2" t="s">
        <v>11</v>
      </c>
      <c r="E123" s="2">
        <v>2</v>
      </c>
      <c r="F123" s="10">
        <v>79.739999999999995</v>
      </c>
      <c r="G123" s="2" t="str">
        <f>_xlfn.XLOOKUP($D$1:$D$361,Products!$A$1:$A$41,Products!$C$1:$C$41)</f>
        <v>Sports</v>
      </c>
      <c r="H123" s="2">
        <f>_xlfn.XLOOKUP(Sales!D:D,Products!A:A,Products!D:D)</f>
        <v>39.869999999999997</v>
      </c>
      <c r="I123" s="2" t="str">
        <f>_xlfn.XLOOKUP(Table1[[#This Row],[CustomerID]],Customer_info!A:A,Customer_info!D:D)</f>
        <v>United Kingdom</v>
      </c>
      <c r="J123" s="13">
        <f>Table1[[#This Row],[Quantity]]*Table1[[#This Row],[UnitPrice]]</f>
        <v>79.739999999999995</v>
      </c>
    </row>
    <row r="124" spans="1:10" x14ac:dyDescent="0.25">
      <c r="A124" s="2" t="s">
        <v>239</v>
      </c>
      <c r="B124" s="3">
        <v>45319</v>
      </c>
      <c r="C124" s="2" t="s">
        <v>48</v>
      </c>
      <c r="D124" s="2" t="s">
        <v>231</v>
      </c>
      <c r="E124" s="2">
        <v>1</v>
      </c>
      <c r="F124" s="10">
        <v>243.63</v>
      </c>
      <c r="G124" s="2" t="str">
        <f>_xlfn.XLOOKUP($D$1:$D$361,Products!$A$1:$A$41,Products!$C$1:$C$41)</f>
        <v>Sports</v>
      </c>
      <c r="H124" s="2">
        <f>_xlfn.XLOOKUP(Sales!D:D,Products!A:A,Products!D:D)</f>
        <v>243.63</v>
      </c>
      <c r="I124" s="2" t="str">
        <f>_xlfn.XLOOKUP(Table1[[#This Row],[CustomerID]],Customer_info!A:A,Customer_info!D:D)</f>
        <v>Canada</v>
      </c>
      <c r="J124" s="13">
        <f>Table1[[#This Row],[Quantity]]*Table1[[#This Row],[UnitPrice]]</f>
        <v>243.63</v>
      </c>
    </row>
    <row r="125" spans="1:10" x14ac:dyDescent="0.25">
      <c r="A125" s="2" t="s">
        <v>240</v>
      </c>
      <c r="B125" s="3">
        <v>45348</v>
      </c>
      <c r="C125" s="2" t="s">
        <v>241</v>
      </c>
      <c r="D125" s="2" t="s">
        <v>136</v>
      </c>
      <c r="E125" s="2">
        <v>4</v>
      </c>
      <c r="F125" s="10">
        <v>1724.88</v>
      </c>
      <c r="G125" s="2" t="str">
        <f>_xlfn.XLOOKUP($D$1:$D$361,Products!$A$1:$A$41,Products!$C$1:$C$41)</f>
        <v>Electronics</v>
      </c>
      <c r="H125" s="2">
        <f>_xlfn.XLOOKUP(Sales!D:D,Products!A:A,Products!D:D)</f>
        <v>431.22</v>
      </c>
      <c r="I125" s="2" t="str">
        <f>_xlfn.XLOOKUP(Table1[[#This Row],[CustomerID]],Customer_info!A:A,Customer_info!D:D)</f>
        <v>United States</v>
      </c>
      <c r="J125" s="13">
        <f>Table1[[#This Row],[Quantity]]*Table1[[#This Row],[UnitPrice]]</f>
        <v>1724.88</v>
      </c>
    </row>
    <row r="126" spans="1:10" x14ac:dyDescent="0.25">
      <c r="A126" s="2" t="s">
        <v>242</v>
      </c>
      <c r="B126" s="3">
        <v>45470</v>
      </c>
      <c r="C126" s="2" t="s">
        <v>243</v>
      </c>
      <c r="D126" s="2" t="s">
        <v>72</v>
      </c>
      <c r="E126" s="2">
        <v>2</v>
      </c>
      <c r="F126" s="10">
        <v>433.44</v>
      </c>
      <c r="G126" s="2" t="str">
        <f>_xlfn.XLOOKUP($D$1:$D$361,Products!$A$1:$A$41,Products!$C$1:$C$41)</f>
        <v>Clothing</v>
      </c>
      <c r="H126" s="2">
        <f>_xlfn.XLOOKUP(Sales!D:D,Products!A:A,Products!D:D)</f>
        <v>216.72</v>
      </c>
      <c r="I126" s="2" t="str">
        <f>_xlfn.XLOOKUP(Table1[[#This Row],[CustomerID]],Customer_info!A:A,Customer_info!D:D)</f>
        <v>India</v>
      </c>
      <c r="J126" s="13">
        <f>Table1[[#This Row],[Quantity]]*Table1[[#This Row],[UnitPrice]]</f>
        <v>433.44</v>
      </c>
    </row>
    <row r="127" spans="1:10" x14ac:dyDescent="0.25">
      <c r="A127" s="2" t="s">
        <v>244</v>
      </c>
      <c r="B127" s="3">
        <v>45410</v>
      </c>
      <c r="C127" s="2" t="s">
        <v>245</v>
      </c>
      <c r="D127" s="2" t="s">
        <v>52</v>
      </c>
      <c r="E127" s="2">
        <v>5</v>
      </c>
      <c r="F127" s="10">
        <v>429.25</v>
      </c>
      <c r="G127" s="2" t="str">
        <f>_xlfn.XLOOKUP($D$1:$D$361,Products!$A$1:$A$41,Products!$C$1:$C$41)</f>
        <v>Beauty</v>
      </c>
      <c r="H127" s="2">
        <f>_xlfn.XLOOKUP(Sales!D:D,Products!A:A,Products!D:D)</f>
        <v>85.85</v>
      </c>
      <c r="I127" s="2" t="str">
        <f>_xlfn.XLOOKUP(Table1[[#This Row],[CustomerID]],Customer_info!A:A,Customer_info!D:D)</f>
        <v>United Kingdom</v>
      </c>
      <c r="J127" s="13">
        <f>Table1[[#This Row],[Quantity]]*Table1[[#This Row],[UnitPrice]]</f>
        <v>429.25</v>
      </c>
    </row>
    <row r="128" spans="1:10" x14ac:dyDescent="0.25">
      <c r="A128" s="2" t="s">
        <v>246</v>
      </c>
      <c r="B128" s="3">
        <v>45434</v>
      </c>
      <c r="C128" s="2" t="s">
        <v>247</v>
      </c>
      <c r="D128" s="2" t="s">
        <v>49</v>
      </c>
      <c r="E128" s="2">
        <v>1</v>
      </c>
      <c r="F128" s="10">
        <v>293.8</v>
      </c>
      <c r="G128" s="2" t="str">
        <f>_xlfn.XLOOKUP($D$1:$D$361,Products!$A$1:$A$41,Products!$C$1:$C$41)</f>
        <v>Electronics</v>
      </c>
      <c r="H128" s="2">
        <f>_xlfn.XLOOKUP(Sales!D:D,Products!A:A,Products!D:D)</f>
        <v>293.8</v>
      </c>
      <c r="I128" s="2" t="str">
        <f>_xlfn.XLOOKUP(Table1[[#This Row],[CustomerID]],Customer_info!A:A,Customer_info!D:D)</f>
        <v>United States</v>
      </c>
      <c r="J128" s="13">
        <f>Table1[[#This Row],[Quantity]]*Table1[[#This Row],[UnitPrice]]</f>
        <v>293.8</v>
      </c>
    </row>
    <row r="129" spans="1:10" x14ac:dyDescent="0.25">
      <c r="A129" s="2" t="s">
        <v>248</v>
      </c>
      <c r="B129" s="3">
        <v>45323</v>
      </c>
      <c r="C129" s="2" t="s">
        <v>249</v>
      </c>
      <c r="D129" s="2" t="s">
        <v>26</v>
      </c>
      <c r="E129" s="2">
        <v>2</v>
      </c>
      <c r="F129" s="10">
        <v>299.54000000000002</v>
      </c>
      <c r="G129" s="2" t="str">
        <f>_xlfn.XLOOKUP($D$1:$D$361,Products!$A$1:$A$41,Products!$C$1:$C$41)</f>
        <v>Beauty</v>
      </c>
      <c r="H129" s="2">
        <f>_xlfn.XLOOKUP(Sales!D:D,Products!A:A,Products!D:D)</f>
        <v>149.77000000000001</v>
      </c>
      <c r="I129" s="2" t="str">
        <f>_xlfn.XLOOKUP(Table1[[#This Row],[CustomerID]],Customer_info!A:A,Customer_info!D:D)</f>
        <v>Canada</v>
      </c>
      <c r="J129" s="13">
        <f>Table1[[#This Row],[Quantity]]*Table1[[#This Row],[UnitPrice]]</f>
        <v>299.54000000000002</v>
      </c>
    </row>
    <row r="130" spans="1:10" x14ac:dyDescent="0.25">
      <c r="A130" s="2" t="s">
        <v>250</v>
      </c>
      <c r="B130" s="3">
        <v>45326</v>
      </c>
      <c r="C130" s="2" t="s">
        <v>185</v>
      </c>
      <c r="D130" s="2" t="s">
        <v>136</v>
      </c>
      <c r="E130" s="2">
        <v>4</v>
      </c>
      <c r="F130" s="10">
        <v>1724.88</v>
      </c>
      <c r="G130" s="2" t="str">
        <f>_xlfn.XLOOKUP($D$1:$D$361,Products!$A$1:$A$41,Products!$C$1:$C$41)</f>
        <v>Electronics</v>
      </c>
      <c r="H130" s="2">
        <f>_xlfn.XLOOKUP(Sales!D:D,Products!A:A,Products!D:D)</f>
        <v>431.22</v>
      </c>
      <c r="I130" s="2" t="str">
        <f>_xlfn.XLOOKUP(Table1[[#This Row],[CustomerID]],Customer_info!A:A,Customer_info!D:D)</f>
        <v>India</v>
      </c>
      <c r="J130" s="13">
        <f>Table1[[#This Row],[Quantity]]*Table1[[#This Row],[UnitPrice]]</f>
        <v>1724.88</v>
      </c>
    </row>
    <row r="131" spans="1:10" x14ac:dyDescent="0.25">
      <c r="A131" s="2" t="s">
        <v>251</v>
      </c>
      <c r="B131" s="3">
        <v>45462</v>
      </c>
      <c r="C131" s="2" t="s">
        <v>198</v>
      </c>
      <c r="D131" s="2" t="s">
        <v>108</v>
      </c>
      <c r="E131" s="2">
        <v>4</v>
      </c>
      <c r="F131" s="10">
        <v>197</v>
      </c>
      <c r="G131" s="2" t="str">
        <f>_xlfn.XLOOKUP($D$1:$D$361,Products!$A$1:$A$41,Products!$C$1:$C$41)</f>
        <v>Sports</v>
      </c>
      <c r="H131" s="2">
        <f>_xlfn.XLOOKUP(Sales!D:D,Products!A:A,Products!D:D)</f>
        <v>49.25</v>
      </c>
      <c r="I131" s="2" t="str">
        <f>_xlfn.XLOOKUP(Table1[[#This Row],[CustomerID]],Customer_info!A:A,Customer_info!D:D)</f>
        <v>United Kingdom</v>
      </c>
      <c r="J131" s="13">
        <f>Table1[[#This Row],[Quantity]]*Table1[[#This Row],[UnitPrice]]</f>
        <v>197</v>
      </c>
    </row>
    <row r="132" spans="1:10" x14ac:dyDescent="0.25">
      <c r="A132" s="2" t="s">
        <v>252</v>
      </c>
      <c r="B132" s="3">
        <v>45435</v>
      </c>
      <c r="C132" s="2" t="s">
        <v>176</v>
      </c>
      <c r="D132" s="2" t="s">
        <v>122</v>
      </c>
      <c r="E132" s="2">
        <v>5</v>
      </c>
      <c r="F132" s="10">
        <v>435.7</v>
      </c>
      <c r="G132" s="2" t="str">
        <f>_xlfn.XLOOKUP($D$1:$D$361,Products!$A$1:$A$41,Products!$C$1:$C$41)</f>
        <v>Sports</v>
      </c>
      <c r="H132" s="2">
        <f>_xlfn.XLOOKUP(Sales!D:D,Products!A:A,Products!D:D)</f>
        <v>87.14</v>
      </c>
      <c r="I132" s="2" t="str">
        <f>_xlfn.XLOOKUP(Table1[[#This Row],[CustomerID]],Customer_info!A:A,Customer_info!D:D)</f>
        <v>United Kingdom</v>
      </c>
      <c r="J132" s="13">
        <f>Table1[[#This Row],[Quantity]]*Table1[[#This Row],[UnitPrice]]</f>
        <v>435.7</v>
      </c>
    </row>
    <row r="133" spans="1:10" x14ac:dyDescent="0.25">
      <c r="A133" s="2" t="s">
        <v>253</v>
      </c>
      <c r="B133" s="3">
        <v>45373</v>
      </c>
      <c r="C133" s="2" t="s">
        <v>57</v>
      </c>
      <c r="D133" s="2" t="s">
        <v>72</v>
      </c>
      <c r="E133" s="2">
        <v>5</v>
      </c>
      <c r="F133" s="10">
        <v>1083.5999999999999</v>
      </c>
      <c r="G133" s="2" t="str">
        <f>_xlfn.XLOOKUP($D$1:$D$361,Products!$A$1:$A$41,Products!$C$1:$C$41)</f>
        <v>Clothing</v>
      </c>
      <c r="H133" s="2">
        <f>_xlfn.XLOOKUP(Sales!D:D,Products!A:A,Products!D:D)</f>
        <v>216.72</v>
      </c>
      <c r="I133" s="2" t="str">
        <f>_xlfn.XLOOKUP(Table1[[#This Row],[CustomerID]],Customer_info!A:A,Customer_info!D:D)</f>
        <v>United Kingdom</v>
      </c>
      <c r="J133" s="13">
        <f>Table1[[#This Row],[Quantity]]*Table1[[#This Row],[UnitPrice]]</f>
        <v>1083.5999999999999</v>
      </c>
    </row>
    <row r="134" spans="1:10" x14ac:dyDescent="0.25">
      <c r="A134" s="2" t="s">
        <v>254</v>
      </c>
      <c r="B134" s="3">
        <v>45448</v>
      </c>
      <c r="C134" s="2" t="s">
        <v>255</v>
      </c>
      <c r="D134" s="2" t="s">
        <v>178</v>
      </c>
      <c r="E134" s="2">
        <v>4</v>
      </c>
      <c r="F134" s="10">
        <v>870.2</v>
      </c>
      <c r="G134" s="2" t="str">
        <f>_xlfn.XLOOKUP($D$1:$D$361,Products!$A$1:$A$41,Products!$C$1:$C$41)</f>
        <v>Home</v>
      </c>
      <c r="H134" s="2">
        <f>_xlfn.XLOOKUP(Sales!D:D,Products!A:A,Products!D:D)</f>
        <v>217.55</v>
      </c>
      <c r="I134" s="2" t="str">
        <f>_xlfn.XLOOKUP(Table1[[#This Row],[CustomerID]],Customer_info!A:A,Customer_info!D:D)</f>
        <v>India</v>
      </c>
      <c r="J134" s="13">
        <f>Table1[[#This Row],[Quantity]]*Table1[[#This Row],[UnitPrice]]</f>
        <v>870.2</v>
      </c>
    </row>
    <row r="135" spans="1:10" x14ac:dyDescent="0.25">
      <c r="A135" s="2" t="s">
        <v>256</v>
      </c>
      <c r="B135" s="3">
        <v>45401</v>
      </c>
      <c r="C135" s="2" t="s">
        <v>76</v>
      </c>
      <c r="D135" s="2" t="s">
        <v>122</v>
      </c>
      <c r="E135" s="2">
        <v>5</v>
      </c>
      <c r="F135" s="10">
        <v>435.7</v>
      </c>
      <c r="G135" s="2" t="str">
        <f>_xlfn.XLOOKUP($D$1:$D$361,Products!$A$1:$A$41,Products!$C$1:$C$41)</f>
        <v>Sports</v>
      </c>
      <c r="H135" s="2">
        <f>_xlfn.XLOOKUP(Sales!D:D,Products!A:A,Products!D:D)</f>
        <v>87.14</v>
      </c>
      <c r="I135" s="2" t="str">
        <f>_xlfn.XLOOKUP(Table1[[#This Row],[CustomerID]],Customer_info!A:A,Customer_info!D:D)</f>
        <v>United Kingdom</v>
      </c>
      <c r="J135" s="13">
        <f>Table1[[#This Row],[Quantity]]*Table1[[#This Row],[UnitPrice]]</f>
        <v>435.7</v>
      </c>
    </row>
    <row r="136" spans="1:10" x14ac:dyDescent="0.25">
      <c r="A136" s="2" t="s">
        <v>257</v>
      </c>
      <c r="B136" s="3">
        <v>45406</v>
      </c>
      <c r="C136" s="2" t="s">
        <v>258</v>
      </c>
      <c r="D136" s="2" t="s">
        <v>129</v>
      </c>
      <c r="E136" s="2">
        <v>5</v>
      </c>
      <c r="F136" s="10">
        <v>583.35</v>
      </c>
      <c r="G136" s="2" t="str">
        <f>_xlfn.XLOOKUP($D$1:$D$361,Products!$A$1:$A$41,Products!$C$1:$C$41)</f>
        <v>Home</v>
      </c>
      <c r="H136" s="2">
        <f>_xlfn.XLOOKUP(Sales!D:D,Products!A:A,Products!D:D)</f>
        <v>116.67</v>
      </c>
      <c r="I136" s="2" t="str">
        <f>_xlfn.XLOOKUP(Table1[[#This Row],[CustomerID]],Customer_info!A:A,Customer_info!D:D)</f>
        <v>Canada</v>
      </c>
      <c r="J136" s="13">
        <f>Table1[[#This Row],[Quantity]]*Table1[[#This Row],[UnitPrice]]</f>
        <v>583.35</v>
      </c>
    </row>
    <row r="137" spans="1:10" x14ac:dyDescent="0.25">
      <c r="A137" s="2" t="s">
        <v>259</v>
      </c>
      <c r="B137" s="3">
        <v>45413</v>
      </c>
      <c r="C137" s="2" t="s">
        <v>113</v>
      </c>
      <c r="D137" s="2" t="s">
        <v>260</v>
      </c>
      <c r="E137" s="2">
        <v>2</v>
      </c>
      <c r="F137" s="10">
        <v>391.4</v>
      </c>
      <c r="G137" s="2" t="str">
        <f>_xlfn.XLOOKUP($D$1:$D$361,Products!$A$1:$A$41,Products!$C$1:$C$41)</f>
        <v>Clothing</v>
      </c>
      <c r="H137" s="2">
        <f>_xlfn.XLOOKUP(Sales!D:D,Products!A:A,Products!D:D)</f>
        <v>195.7</v>
      </c>
      <c r="I137" s="2" t="str">
        <f>_xlfn.XLOOKUP(Table1[[#This Row],[CustomerID]],Customer_info!A:A,Customer_info!D:D)</f>
        <v>India</v>
      </c>
      <c r="J137" s="13">
        <f>Table1[[#This Row],[Quantity]]*Table1[[#This Row],[UnitPrice]]</f>
        <v>391.4</v>
      </c>
    </row>
    <row r="138" spans="1:10" x14ac:dyDescent="0.25">
      <c r="A138" s="2" t="s">
        <v>261</v>
      </c>
      <c r="B138" s="3">
        <v>45358</v>
      </c>
      <c r="C138" s="2" t="s">
        <v>182</v>
      </c>
      <c r="D138" s="2" t="s">
        <v>114</v>
      </c>
      <c r="E138" s="2">
        <v>4</v>
      </c>
      <c r="F138" s="10">
        <v>908.52</v>
      </c>
      <c r="G138" s="2" t="str">
        <f>_xlfn.XLOOKUP($D$1:$D$361,Products!$A$1:$A$41,Products!$C$1:$C$41)</f>
        <v>Electronics</v>
      </c>
      <c r="H138" s="2">
        <f>_xlfn.XLOOKUP(Sales!D:D,Products!A:A,Products!D:D)</f>
        <v>227.13</v>
      </c>
      <c r="I138" s="2" t="str">
        <f>_xlfn.XLOOKUP(Table1[[#This Row],[CustomerID]],Customer_info!A:A,Customer_info!D:D)</f>
        <v>Canada</v>
      </c>
      <c r="J138" s="13">
        <f>Table1[[#This Row],[Quantity]]*Table1[[#This Row],[UnitPrice]]</f>
        <v>908.52</v>
      </c>
    </row>
    <row r="139" spans="1:10" x14ac:dyDescent="0.25">
      <c r="A139" s="2" t="s">
        <v>262</v>
      </c>
      <c r="B139" s="3">
        <v>45455</v>
      </c>
      <c r="C139" s="2" t="s">
        <v>101</v>
      </c>
      <c r="D139" s="2" t="s">
        <v>178</v>
      </c>
      <c r="E139" s="2">
        <v>2</v>
      </c>
      <c r="F139" s="10">
        <v>435.1</v>
      </c>
      <c r="G139" s="2" t="str">
        <f>_xlfn.XLOOKUP($D$1:$D$361,Products!$A$1:$A$41,Products!$C$1:$C$41)</f>
        <v>Home</v>
      </c>
      <c r="H139" s="2">
        <f>_xlfn.XLOOKUP(Sales!D:D,Products!A:A,Products!D:D)</f>
        <v>217.55</v>
      </c>
      <c r="I139" s="2" t="str">
        <f>_xlfn.XLOOKUP(Table1[[#This Row],[CustomerID]],Customer_info!A:A,Customer_info!D:D)</f>
        <v>United States</v>
      </c>
      <c r="J139" s="13">
        <f>Table1[[#This Row],[Quantity]]*Table1[[#This Row],[UnitPrice]]</f>
        <v>435.1</v>
      </c>
    </row>
    <row r="140" spans="1:10" x14ac:dyDescent="0.25">
      <c r="A140" s="2" t="s">
        <v>263</v>
      </c>
      <c r="B140" s="3">
        <v>45425</v>
      </c>
      <c r="C140" s="2" t="s">
        <v>264</v>
      </c>
      <c r="D140" s="2" t="s">
        <v>68</v>
      </c>
      <c r="E140" s="2">
        <v>3</v>
      </c>
      <c r="F140" s="10">
        <v>1206.8699999999999</v>
      </c>
      <c r="G140" s="2" t="str">
        <f>_xlfn.XLOOKUP($D$1:$D$361,Products!$A$1:$A$41,Products!$C$1:$C$41)</f>
        <v>Home</v>
      </c>
      <c r="H140" s="2">
        <f>_xlfn.XLOOKUP(Sales!D:D,Products!A:A,Products!D:D)</f>
        <v>402.29</v>
      </c>
      <c r="I140" s="2" t="str">
        <f>_xlfn.XLOOKUP(Table1[[#This Row],[CustomerID]],Customer_info!A:A,Customer_info!D:D)</f>
        <v>Canada</v>
      </c>
      <c r="J140" s="13">
        <f>Table1[[#This Row],[Quantity]]*Table1[[#This Row],[UnitPrice]]</f>
        <v>1206.8700000000001</v>
      </c>
    </row>
    <row r="141" spans="1:10" x14ac:dyDescent="0.25">
      <c r="A141" s="2" t="s">
        <v>265</v>
      </c>
      <c r="B141" s="3">
        <v>45452</v>
      </c>
      <c r="C141" s="2" t="s">
        <v>150</v>
      </c>
      <c r="D141" s="2" t="s">
        <v>231</v>
      </c>
      <c r="E141" s="2">
        <v>4</v>
      </c>
      <c r="F141" s="10">
        <v>974.52</v>
      </c>
      <c r="G141" s="2" t="str">
        <f>_xlfn.XLOOKUP($D$1:$D$361,Products!$A$1:$A$41,Products!$C$1:$C$41)</f>
        <v>Sports</v>
      </c>
      <c r="H141" s="2">
        <f>_xlfn.XLOOKUP(Sales!D:D,Products!A:A,Products!D:D)</f>
        <v>243.63</v>
      </c>
      <c r="I141" s="2" t="str">
        <f>_xlfn.XLOOKUP(Table1[[#This Row],[CustomerID]],Customer_info!A:A,Customer_info!D:D)</f>
        <v>United Kingdom</v>
      </c>
      <c r="J141" s="13">
        <f>Table1[[#This Row],[Quantity]]*Table1[[#This Row],[UnitPrice]]</f>
        <v>974.52</v>
      </c>
    </row>
    <row r="142" spans="1:10" x14ac:dyDescent="0.25">
      <c r="A142" s="2" t="s">
        <v>266</v>
      </c>
      <c r="B142" s="3">
        <v>45362</v>
      </c>
      <c r="C142" s="2" t="s">
        <v>93</v>
      </c>
      <c r="D142" s="2" t="s">
        <v>49</v>
      </c>
      <c r="E142" s="2">
        <v>2</v>
      </c>
      <c r="F142" s="10">
        <v>587.6</v>
      </c>
      <c r="G142" s="2" t="str">
        <f>_xlfn.XLOOKUP($D$1:$D$361,Products!$A$1:$A$41,Products!$C$1:$C$41)</f>
        <v>Electronics</v>
      </c>
      <c r="H142" s="2">
        <f>_xlfn.XLOOKUP(Sales!D:D,Products!A:A,Products!D:D)</f>
        <v>293.8</v>
      </c>
      <c r="I142" s="2" t="str">
        <f>_xlfn.XLOOKUP(Table1[[#This Row],[CustomerID]],Customer_info!A:A,Customer_info!D:D)</f>
        <v>United States</v>
      </c>
      <c r="J142" s="13">
        <f>Table1[[#This Row],[Quantity]]*Table1[[#This Row],[UnitPrice]]</f>
        <v>587.6</v>
      </c>
    </row>
    <row r="143" spans="1:10" x14ac:dyDescent="0.25">
      <c r="A143" s="2" t="s">
        <v>267</v>
      </c>
      <c r="B143" s="3">
        <v>45311</v>
      </c>
      <c r="C143" s="2" t="s">
        <v>222</v>
      </c>
      <c r="D143" s="2" t="s">
        <v>28</v>
      </c>
      <c r="E143" s="2">
        <v>4</v>
      </c>
      <c r="F143" s="10">
        <v>1808.8</v>
      </c>
      <c r="G143" s="2" t="str">
        <f>_xlfn.XLOOKUP($D$1:$D$361,Products!$A$1:$A$41,Products!$C$1:$C$41)</f>
        <v>Beauty</v>
      </c>
      <c r="H143" s="2">
        <f>_xlfn.XLOOKUP(Sales!D:D,Products!A:A,Products!D:D)</f>
        <v>452.2</v>
      </c>
      <c r="I143" s="2" t="str">
        <f>_xlfn.XLOOKUP(Table1[[#This Row],[CustomerID]],Customer_info!A:A,Customer_info!D:D)</f>
        <v>India</v>
      </c>
      <c r="J143" s="13">
        <f>Table1[[#This Row],[Quantity]]*Table1[[#This Row],[UnitPrice]]</f>
        <v>1808.8</v>
      </c>
    </row>
    <row r="144" spans="1:10" x14ac:dyDescent="0.25">
      <c r="A144" s="2" t="s">
        <v>268</v>
      </c>
      <c r="B144" s="3">
        <v>45352</v>
      </c>
      <c r="C144" s="2" t="s">
        <v>269</v>
      </c>
      <c r="D144" s="2" t="s">
        <v>14</v>
      </c>
      <c r="E144" s="2">
        <v>3</v>
      </c>
      <c r="F144" s="10">
        <v>710.07</v>
      </c>
      <c r="G144" s="2" t="str">
        <f>_xlfn.XLOOKUP($D$1:$D$361,Products!$A$1:$A$41,Products!$C$1:$C$41)</f>
        <v>Home</v>
      </c>
      <c r="H144" s="2">
        <f>_xlfn.XLOOKUP(Sales!D:D,Products!A:A,Products!D:D)</f>
        <v>236.69</v>
      </c>
      <c r="I144" s="2" t="str">
        <f>_xlfn.XLOOKUP(Table1[[#This Row],[CustomerID]],Customer_info!A:A,Customer_info!D:D)</f>
        <v>United Kingdom</v>
      </c>
      <c r="J144" s="13">
        <f>Table1[[#This Row],[Quantity]]*Table1[[#This Row],[UnitPrice]]</f>
        <v>710.06999999999994</v>
      </c>
    </row>
    <row r="145" spans="1:10" x14ac:dyDescent="0.25">
      <c r="A145" s="2" t="s">
        <v>270</v>
      </c>
      <c r="B145" s="3">
        <v>45377</v>
      </c>
      <c r="C145" s="2" t="s">
        <v>139</v>
      </c>
      <c r="D145" s="2" t="s">
        <v>146</v>
      </c>
      <c r="E145" s="2">
        <v>3</v>
      </c>
      <c r="F145" s="10">
        <v>998.7</v>
      </c>
      <c r="G145" s="2" t="str">
        <f>_xlfn.XLOOKUP($D$1:$D$361,Products!$A$1:$A$41,Products!$C$1:$C$41)</f>
        <v>Electronics</v>
      </c>
      <c r="H145" s="2">
        <f>_xlfn.XLOOKUP(Sales!D:D,Products!A:A,Products!D:D)</f>
        <v>332.9</v>
      </c>
      <c r="I145" s="2" t="str">
        <f>_xlfn.XLOOKUP(Table1[[#This Row],[CustomerID]],Customer_info!A:A,Customer_info!D:D)</f>
        <v>United States</v>
      </c>
      <c r="J145" s="13">
        <f>Table1[[#This Row],[Quantity]]*Table1[[#This Row],[UnitPrice]]</f>
        <v>998.69999999999993</v>
      </c>
    </row>
    <row r="146" spans="1:10" x14ac:dyDescent="0.25">
      <c r="A146" s="2" t="s">
        <v>271</v>
      </c>
      <c r="B146" s="3">
        <v>45430</v>
      </c>
      <c r="C146" s="2" t="s">
        <v>243</v>
      </c>
      <c r="D146" s="2" t="s">
        <v>146</v>
      </c>
      <c r="E146" s="2">
        <v>3</v>
      </c>
      <c r="F146" s="10">
        <v>998.7</v>
      </c>
      <c r="G146" s="2" t="str">
        <f>_xlfn.XLOOKUP($D$1:$D$361,Products!$A$1:$A$41,Products!$C$1:$C$41)</f>
        <v>Electronics</v>
      </c>
      <c r="H146" s="2">
        <f>_xlfn.XLOOKUP(Sales!D:D,Products!A:A,Products!D:D)</f>
        <v>332.9</v>
      </c>
      <c r="I146" s="2" t="str">
        <f>_xlfn.XLOOKUP(Table1[[#This Row],[CustomerID]],Customer_info!A:A,Customer_info!D:D)</f>
        <v>India</v>
      </c>
      <c r="J146" s="13">
        <f>Table1[[#This Row],[Quantity]]*Table1[[#This Row],[UnitPrice]]</f>
        <v>998.69999999999993</v>
      </c>
    </row>
    <row r="147" spans="1:10" x14ac:dyDescent="0.25">
      <c r="A147" s="2" t="s">
        <v>272</v>
      </c>
      <c r="B147" s="3">
        <v>45327</v>
      </c>
      <c r="C147" s="2" t="s">
        <v>264</v>
      </c>
      <c r="D147" s="2" t="s">
        <v>196</v>
      </c>
      <c r="E147" s="2">
        <v>1</v>
      </c>
      <c r="F147" s="10">
        <v>245.87</v>
      </c>
      <c r="G147" s="2" t="str">
        <f>_xlfn.XLOOKUP($D$1:$D$361,Products!$A$1:$A$41,Products!$C$1:$C$41)</f>
        <v>Beauty</v>
      </c>
      <c r="H147" s="2">
        <f>_xlfn.XLOOKUP(Sales!D:D,Products!A:A,Products!D:D)</f>
        <v>245.87</v>
      </c>
      <c r="I147" s="2" t="str">
        <f>_xlfn.XLOOKUP(Table1[[#This Row],[CustomerID]],Customer_info!A:A,Customer_info!D:D)</f>
        <v>Canada</v>
      </c>
      <c r="J147" s="13">
        <f>Table1[[#This Row],[Quantity]]*Table1[[#This Row],[UnitPrice]]</f>
        <v>245.87</v>
      </c>
    </row>
    <row r="148" spans="1:10" x14ac:dyDescent="0.25">
      <c r="A148" s="2" t="s">
        <v>273</v>
      </c>
      <c r="B148" s="3">
        <v>45351</v>
      </c>
      <c r="C148" s="2" t="s">
        <v>143</v>
      </c>
      <c r="D148" s="2" t="s">
        <v>231</v>
      </c>
      <c r="E148" s="2">
        <v>2</v>
      </c>
      <c r="F148" s="10">
        <v>487.26</v>
      </c>
      <c r="G148" s="2" t="str">
        <f>_xlfn.XLOOKUP($D$1:$D$361,Products!$A$1:$A$41,Products!$C$1:$C$41)</f>
        <v>Sports</v>
      </c>
      <c r="H148" s="2">
        <f>_xlfn.XLOOKUP(Sales!D:D,Products!A:A,Products!D:D)</f>
        <v>243.63</v>
      </c>
      <c r="I148" s="2" t="str">
        <f>_xlfn.XLOOKUP(Table1[[#This Row],[CustomerID]],Customer_info!A:A,Customer_info!D:D)</f>
        <v>Canada</v>
      </c>
      <c r="J148" s="13">
        <f>Table1[[#This Row],[Quantity]]*Table1[[#This Row],[UnitPrice]]</f>
        <v>487.26</v>
      </c>
    </row>
    <row r="149" spans="1:10" x14ac:dyDescent="0.25">
      <c r="A149" s="2" t="s">
        <v>274</v>
      </c>
      <c r="B149" s="3">
        <v>45469</v>
      </c>
      <c r="C149" s="2" t="s">
        <v>222</v>
      </c>
      <c r="D149" s="2" t="s">
        <v>132</v>
      </c>
      <c r="E149" s="2">
        <v>4</v>
      </c>
      <c r="F149" s="10">
        <v>1351.2</v>
      </c>
      <c r="G149" s="2" t="str">
        <f>_xlfn.XLOOKUP($D$1:$D$361,Products!$A$1:$A$41,Products!$C$1:$C$41)</f>
        <v>Home</v>
      </c>
      <c r="H149" s="2">
        <f>_xlfn.XLOOKUP(Sales!D:D,Products!A:A,Products!D:D)</f>
        <v>337.8</v>
      </c>
      <c r="I149" s="2" t="str">
        <f>_xlfn.XLOOKUP(Table1[[#This Row],[CustomerID]],Customer_info!A:A,Customer_info!D:D)</f>
        <v>India</v>
      </c>
      <c r="J149" s="13">
        <f>Table1[[#This Row],[Quantity]]*Table1[[#This Row],[UnitPrice]]</f>
        <v>1351.2</v>
      </c>
    </row>
    <row r="150" spans="1:10" x14ac:dyDescent="0.25">
      <c r="A150" s="2" t="s">
        <v>275</v>
      </c>
      <c r="B150" s="3">
        <v>45472</v>
      </c>
      <c r="C150" s="2" t="s">
        <v>74</v>
      </c>
      <c r="D150" s="2" t="s">
        <v>132</v>
      </c>
      <c r="E150" s="2">
        <v>2</v>
      </c>
      <c r="F150" s="10">
        <v>675.6</v>
      </c>
      <c r="G150" s="2" t="str">
        <f>_xlfn.XLOOKUP($D$1:$D$361,Products!$A$1:$A$41,Products!$C$1:$C$41)</f>
        <v>Home</v>
      </c>
      <c r="H150" s="2">
        <f>_xlfn.XLOOKUP(Sales!D:D,Products!A:A,Products!D:D)</f>
        <v>337.8</v>
      </c>
      <c r="I150" s="2" t="str">
        <f>_xlfn.XLOOKUP(Table1[[#This Row],[CustomerID]],Customer_info!A:A,Customer_info!D:D)</f>
        <v>India</v>
      </c>
      <c r="J150" s="13">
        <f>Table1[[#This Row],[Quantity]]*Table1[[#This Row],[UnitPrice]]</f>
        <v>675.6</v>
      </c>
    </row>
    <row r="151" spans="1:10" x14ac:dyDescent="0.25">
      <c r="A151" s="2" t="s">
        <v>276</v>
      </c>
      <c r="B151" s="3">
        <v>45308</v>
      </c>
      <c r="C151" s="2" t="s">
        <v>116</v>
      </c>
      <c r="D151" s="2" t="s">
        <v>17</v>
      </c>
      <c r="E151" s="2">
        <v>2</v>
      </c>
      <c r="F151" s="10">
        <v>788.92</v>
      </c>
      <c r="G151" s="2" t="str">
        <f>_xlfn.XLOOKUP($D$1:$D$361,Products!$A$1:$A$41,Products!$C$1:$C$41)</f>
        <v>Clothing</v>
      </c>
      <c r="H151" s="2">
        <f>_xlfn.XLOOKUP(Sales!D:D,Products!A:A,Products!D:D)</f>
        <v>394.46</v>
      </c>
      <c r="I151" s="2" t="str">
        <f>_xlfn.XLOOKUP(Table1[[#This Row],[CustomerID]],Customer_info!A:A,Customer_info!D:D)</f>
        <v>United Kingdom</v>
      </c>
      <c r="J151" s="13">
        <f>Table1[[#This Row],[Quantity]]*Table1[[#This Row],[UnitPrice]]</f>
        <v>788.92</v>
      </c>
    </row>
    <row r="152" spans="1:10" x14ac:dyDescent="0.25">
      <c r="A152" s="2" t="s">
        <v>277</v>
      </c>
      <c r="B152" s="3">
        <v>45396</v>
      </c>
      <c r="C152" s="2" t="s">
        <v>278</v>
      </c>
      <c r="D152" s="2" t="s">
        <v>81</v>
      </c>
      <c r="E152" s="2">
        <v>4</v>
      </c>
      <c r="F152" s="10">
        <v>1733.12</v>
      </c>
      <c r="G152" s="2" t="str">
        <f>_xlfn.XLOOKUP($D$1:$D$361,Products!$A$1:$A$41,Products!$C$1:$C$41)</f>
        <v>Beauty</v>
      </c>
      <c r="H152" s="2">
        <f>_xlfn.XLOOKUP(Sales!D:D,Products!A:A,Products!D:D)</f>
        <v>433.28</v>
      </c>
      <c r="I152" s="2" t="str">
        <f>_xlfn.XLOOKUP(Table1[[#This Row],[CustomerID]],Customer_info!A:A,Customer_info!D:D)</f>
        <v>Canada</v>
      </c>
      <c r="J152" s="13">
        <f>Table1[[#This Row],[Quantity]]*Table1[[#This Row],[UnitPrice]]</f>
        <v>1733.12</v>
      </c>
    </row>
    <row r="153" spans="1:10" x14ac:dyDescent="0.25">
      <c r="A153" s="2" t="s">
        <v>279</v>
      </c>
      <c r="B153" s="3">
        <v>45430</v>
      </c>
      <c r="C153" s="2" t="s">
        <v>280</v>
      </c>
      <c r="D153" s="2" t="s">
        <v>103</v>
      </c>
      <c r="E153" s="2">
        <v>3</v>
      </c>
      <c r="F153" s="10">
        <v>419.85</v>
      </c>
      <c r="G153" s="2" t="str">
        <f>_xlfn.XLOOKUP($D$1:$D$361,Products!$A$1:$A$41,Products!$C$1:$C$41)</f>
        <v>Beauty</v>
      </c>
      <c r="H153" s="2">
        <f>_xlfn.XLOOKUP(Sales!D:D,Products!A:A,Products!D:D)</f>
        <v>139.94999999999999</v>
      </c>
      <c r="I153" s="2" t="str">
        <f>_xlfn.XLOOKUP(Table1[[#This Row],[CustomerID]],Customer_info!A:A,Customer_info!D:D)</f>
        <v>United Kingdom</v>
      </c>
      <c r="J153" s="13">
        <f>Table1[[#This Row],[Quantity]]*Table1[[#This Row],[UnitPrice]]</f>
        <v>419.84999999999997</v>
      </c>
    </row>
    <row r="154" spans="1:10" x14ac:dyDescent="0.25">
      <c r="A154" s="2" t="s">
        <v>281</v>
      </c>
      <c r="B154" s="3">
        <v>45398</v>
      </c>
      <c r="C154" s="2" t="s">
        <v>30</v>
      </c>
      <c r="D154" s="2" t="s">
        <v>108</v>
      </c>
      <c r="E154" s="2">
        <v>4</v>
      </c>
      <c r="F154" s="10">
        <v>197</v>
      </c>
      <c r="G154" s="2" t="str">
        <f>_xlfn.XLOOKUP($D$1:$D$361,Products!$A$1:$A$41,Products!$C$1:$C$41)</f>
        <v>Sports</v>
      </c>
      <c r="H154" s="2">
        <f>_xlfn.XLOOKUP(Sales!D:D,Products!A:A,Products!D:D)</f>
        <v>49.25</v>
      </c>
      <c r="I154" s="2" t="str">
        <f>_xlfn.XLOOKUP(Table1[[#This Row],[CustomerID]],Customer_info!A:A,Customer_info!D:D)</f>
        <v>United Kingdom</v>
      </c>
      <c r="J154" s="13">
        <f>Table1[[#This Row],[Quantity]]*Table1[[#This Row],[UnitPrice]]</f>
        <v>197</v>
      </c>
    </row>
    <row r="155" spans="1:10" x14ac:dyDescent="0.25">
      <c r="A155" s="2" t="s">
        <v>282</v>
      </c>
      <c r="B155" s="3">
        <v>45344</v>
      </c>
      <c r="C155" s="2" t="s">
        <v>283</v>
      </c>
      <c r="D155" s="2" t="s">
        <v>55</v>
      </c>
      <c r="E155" s="2">
        <v>1</v>
      </c>
      <c r="F155" s="10">
        <v>130.65</v>
      </c>
      <c r="G155" s="2" t="str">
        <f>_xlfn.XLOOKUP($D$1:$D$361,Products!$A$1:$A$41,Products!$C$1:$C$41)</f>
        <v>Sports</v>
      </c>
      <c r="H155" s="2">
        <f>_xlfn.XLOOKUP(Sales!D:D,Products!A:A,Products!D:D)</f>
        <v>130.65</v>
      </c>
      <c r="I155" s="2" t="str">
        <f>_xlfn.XLOOKUP(Table1[[#This Row],[CustomerID]],Customer_info!A:A,Customer_info!D:D)</f>
        <v>United States</v>
      </c>
      <c r="J155" s="13">
        <f>Table1[[#This Row],[Quantity]]*Table1[[#This Row],[UnitPrice]]</f>
        <v>130.65</v>
      </c>
    </row>
    <row r="156" spans="1:10" x14ac:dyDescent="0.25">
      <c r="A156" s="2" t="s">
        <v>284</v>
      </c>
      <c r="B156" s="3">
        <v>45391</v>
      </c>
      <c r="C156" s="2" t="s">
        <v>97</v>
      </c>
      <c r="D156" s="2" t="s">
        <v>26</v>
      </c>
      <c r="E156" s="2">
        <v>4</v>
      </c>
      <c r="F156" s="10">
        <v>599.08000000000004</v>
      </c>
      <c r="G156" s="2" t="str">
        <f>_xlfn.XLOOKUP($D$1:$D$361,Products!$A$1:$A$41,Products!$C$1:$C$41)</f>
        <v>Beauty</v>
      </c>
      <c r="H156" s="2">
        <f>_xlfn.XLOOKUP(Sales!D:D,Products!A:A,Products!D:D)</f>
        <v>149.77000000000001</v>
      </c>
      <c r="I156" s="2" t="str">
        <f>_xlfn.XLOOKUP(Table1[[#This Row],[CustomerID]],Customer_info!A:A,Customer_info!D:D)</f>
        <v>United States</v>
      </c>
      <c r="J156" s="13">
        <f>Table1[[#This Row],[Quantity]]*Table1[[#This Row],[UnitPrice]]</f>
        <v>599.08000000000004</v>
      </c>
    </row>
    <row r="157" spans="1:10" x14ac:dyDescent="0.25">
      <c r="A157" s="2" t="s">
        <v>285</v>
      </c>
      <c r="B157" s="3">
        <v>45470</v>
      </c>
      <c r="C157" s="2" t="s">
        <v>202</v>
      </c>
      <c r="D157" s="2" t="s">
        <v>165</v>
      </c>
      <c r="E157" s="2">
        <v>5</v>
      </c>
      <c r="F157" s="10">
        <v>1309.7</v>
      </c>
      <c r="G157" s="2" t="str">
        <f>_xlfn.XLOOKUP($D$1:$D$361,Products!$A$1:$A$41,Products!$C$1:$C$41)</f>
        <v>Electronics</v>
      </c>
      <c r="H157" s="2">
        <f>_xlfn.XLOOKUP(Sales!D:D,Products!A:A,Products!D:D)</f>
        <v>261.94</v>
      </c>
      <c r="I157" s="2" t="str">
        <f>_xlfn.XLOOKUP(Table1[[#This Row],[CustomerID]],Customer_info!A:A,Customer_info!D:D)</f>
        <v>India</v>
      </c>
      <c r="J157" s="13">
        <f>Table1[[#This Row],[Quantity]]*Table1[[#This Row],[UnitPrice]]</f>
        <v>1309.7</v>
      </c>
    </row>
    <row r="158" spans="1:10" x14ac:dyDescent="0.25">
      <c r="A158" s="2" t="s">
        <v>286</v>
      </c>
      <c r="B158" s="3">
        <v>45439</v>
      </c>
      <c r="C158" s="2" t="s">
        <v>30</v>
      </c>
      <c r="D158" s="2" t="s">
        <v>63</v>
      </c>
      <c r="E158" s="2">
        <v>1</v>
      </c>
      <c r="F158" s="10">
        <v>57.98</v>
      </c>
      <c r="G158" s="2" t="str">
        <f>_xlfn.XLOOKUP($D$1:$D$361,Products!$A$1:$A$41,Products!$C$1:$C$41)</f>
        <v>Sports</v>
      </c>
      <c r="H158" s="2">
        <f>_xlfn.XLOOKUP(Sales!D:D,Products!A:A,Products!D:D)</f>
        <v>57.98</v>
      </c>
      <c r="I158" s="2" t="str">
        <f>_xlfn.XLOOKUP(Table1[[#This Row],[CustomerID]],Customer_info!A:A,Customer_info!D:D)</f>
        <v>United Kingdom</v>
      </c>
      <c r="J158" s="13">
        <f>Table1[[#This Row],[Quantity]]*Table1[[#This Row],[UnitPrice]]</f>
        <v>57.98</v>
      </c>
    </row>
    <row r="159" spans="1:10" x14ac:dyDescent="0.25">
      <c r="A159" s="2" t="s">
        <v>287</v>
      </c>
      <c r="B159" s="3">
        <v>45414</v>
      </c>
      <c r="C159" s="2" t="s">
        <v>131</v>
      </c>
      <c r="D159" s="2" t="s">
        <v>41</v>
      </c>
      <c r="E159" s="2">
        <v>4</v>
      </c>
      <c r="F159" s="10">
        <v>152.04</v>
      </c>
      <c r="G159" s="2" t="str">
        <f>_xlfn.XLOOKUP($D$1:$D$361,Products!$A$1:$A$41,Products!$C$1:$C$41)</f>
        <v>Home</v>
      </c>
      <c r="H159" s="2">
        <f>_xlfn.XLOOKUP(Sales!D:D,Products!A:A,Products!D:D)</f>
        <v>38.01</v>
      </c>
      <c r="I159" s="2" t="str">
        <f>_xlfn.XLOOKUP(Table1[[#This Row],[CustomerID]],Customer_info!A:A,Customer_info!D:D)</f>
        <v>Canada</v>
      </c>
      <c r="J159" s="13">
        <f>Table1[[#This Row],[Quantity]]*Table1[[#This Row],[UnitPrice]]</f>
        <v>152.04</v>
      </c>
    </row>
    <row r="160" spans="1:10" x14ac:dyDescent="0.25">
      <c r="A160" s="2" t="s">
        <v>288</v>
      </c>
      <c r="B160" s="3">
        <v>45382</v>
      </c>
      <c r="C160" s="2" t="s">
        <v>289</v>
      </c>
      <c r="D160" s="2" t="s">
        <v>165</v>
      </c>
      <c r="E160" s="2">
        <v>1</v>
      </c>
      <c r="F160" s="10">
        <v>261.94</v>
      </c>
      <c r="G160" s="2" t="str">
        <f>_xlfn.XLOOKUP($D$1:$D$361,Products!$A$1:$A$41,Products!$C$1:$C$41)</f>
        <v>Electronics</v>
      </c>
      <c r="H160" s="2">
        <f>_xlfn.XLOOKUP(Sales!D:D,Products!A:A,Products!D:D)</f>
        <v>261.94</v>
      </c>
      <c r="I160" s="2" t="str">
        <f>_xlfn.XLOOKUP(Table1[[#This Row],[CustomerID]],Customer_info!A:A,Customer_info!D:D)</f>
        <v>Canada</v>
      </c>
      <c r="J160" s="13">
        <f>Table1[[#This Row],[Quantity]]*Table1[[#This Row],[UnitPrice]]</f>
        <v>261.94</v>
      </c>
    </row>
    <row r="161" spans="1:10" x14ac:dyDescent="0.25">
      <c r="A161" s="2" t="s">
        <v>290</v>
      </c>
      <c r="B161" s="3">
        <v>45391</v>
      </c>
      <c r="C161" s="2" t="s">
        <v>238</v>
      </c>
      <c r="D161" s="2" t="s">
        <v>63</v>
      </c>
      <c r="E161" s="2">
        <v>3</v>
      </c>
      <c r="F161" s="10">
        <v>173.94</v>
      </c>
      <c r="G161" s="2" t="str">
        <f>_xlfn.XLOOKUP($D$1:$D$361,Products!$A$1:$A$41,Products!$C$1:$C$41)</f>
        <v>Sports</v>
      </c>
      <c r="H161" s="2">
        <f>_xlfn.XLOOKUP(Sales!D:D,Products!A:A,Products!D:D)</f>
        <v>57.98</v>
      </c>
      <c r="I161" s="2" t="str">
        <f>_xlfn.XLOOKUP(Table1[[#This Row],[CustomerID]],Customer_info!A:A,Customer_info!D:D)</f>
        <v>United Kingdom</v>
      </c>
      <c r="J161" s="13">
        <f>Table1[[#This Row],[Quantity]]*Table1[[#This Row],[UnitPrice]]</f>
        <v>173.94</v>
      </c>
    </row>
    <row r="162" spans="1:10" x14ac:dyDescent="0.25">
      <c r="A162" s="2" t="s">
        <v>291</v>
      </c>
      <c r="B162" s="3">
        <v>45429</v>
      </c>
      <c r="C162" s="2" t="s">
        <v>202</v>
      </c>
      <c r="D162" s="2" t="s">
        <v>122</v>
      </c>
      <c r="E162" s="2">
        <v>4</v>
      </c>
      <c r="F162" s="10">
        <v>348.56</v>
      </c>
      <c r="G162" s="2" t="str">
        <f>_xlfn.XLOOKUP($D$1:$D$361,Products!$A$1:$A$41,Products!$C$1:$C$41)</f>
        <v>Sports</v>
      </c>
      <c r="H162" s="2">
        <f>_xlfn.XLOOKUP(Sales!D:D,Products!A:A,Products!D:D)</f>
        <v>87.14</v>
      </c>
      <c r="I162" s="2" t="str">
        <f>_xlfn.XLOOKUP(Table1[[#This Row],[CustomerID]],Customer_info!A:A,Customer_info!D:D)</f>
        <v>India</v>
      </c>
      <c r="J162" s="13">
        <f>Table1[[#This Row],[Quantity]]*Table1[[#This Row],[UnitPrice]]</f>
        <v>348.56</v>
      </c>
    </row>
    <row r="163" spans="1:10" x14ac:dyDescent="0.25">
      <c r="A163" s="2" t="s">
        <v>292</v>
      </c>
      <c r="B163" s="3">
        <v>45446</v>
      </c>
      <c r="C163" s="2" t="s">
        <v>19</v>
      </c>
      <c r="D163" s="2" t="s">
        <v>68</v>
      </c>
      <c r="E163" s="2">
        <v>5</v>
      </c>
      <c r="F163" s="10">
        <v>2011.45</v>
      </c>
      <c r="G163" s="2" t="str">
        <f>_xlfn.XLOOKUP($D$1:$D$361,Products!$A$1:$A$41,Products!$C$1:$C$41)</f>
        <v>Home</v>
      </c>
      <c r="H163" s="2">
        <f>_xlfn.XLOOKUP(Sales!D:D,Products!A:A,Products!D:D)</f>
        <v>402.29</v>
      </c>
      <c r="I163" s="2" t="str">
        <f>_xlfn.XLOOKUP(Table1[[#This Row],[CustomerID]],Customer_info!A:A,Customer_info!D:D)</f>
        <v>United States</v>
      </c>
      <c r="J163" s="13">
        <f>Table1[[#This Row],[Quantity]]*Table1[[#This Row],[UnitPrice]]</f>
        <v>2011.45</v>
      </c>
    </row>
    <row r="164" spans="1:10" x14ac:dyDescent="0.25">
      <c r="A164" s="2" t="s">
        <v>293</v>
      </c>
      <c r="B164" s="3">
        <v>45416</v>
      </c>
      <c r="C164" s="2" t="s">
        <v>111</v>
      </c>
      <c r="D164" s="2" t="s">
        <v>129</v>
      </c>
      <c r="E164" s="2">
        <v>2</v>
      </c>
      <c r="F164" s="10">
        <v>233.34</v>
      </c>
      <c r="G164" s="2" t="str">
        <f>_xlfn.XLOOKUP($D$1:$D$361,Products!$A$1:$A$41,Products!$C$1:$C$41)</f>
        <v>Home</v>
      </c>
      <c r="H164" s="2">
        <f>_xlfn.XLOOKUP(Sales!D:D,Products!A:A,Products!D:D)</f>
        <v>116.67</v>
      </c>
      <c r="I164" s="2" t="str">
        <f>_xlfn.XLOOKUP(Table1[[#This Row],[CustomerID]],Customer_info!A:A,Customer_info!D:D)</f>
        <v>United Kingdom</v>
      </c>
      <c r="J164" s="13">
        <f>Table1[[#This Row],[Quantity]]*Table1[[#This Row],[UnitPrice]]</f>
        <v>233.34</v>
      </c>
    </row>
    <row r="165" spans="1:10" x14ac:dyDescent="0.25">
      <c r="A165" s="2" t="s">
        <v>294</v>
      </c>
      <c r="B165" s="3">
        <v>45361</v>
      </c>
      <c r="C165" s="2" t="s">
        <v>295</v>
      </c>
      <c r="D165" s="2" t="s">
        <v>52</v>
      </c>
      <c r="E165" s="2">
        <v>2</v>
      </c>
      <c r="F165" s="10">
        <v>171.7</v>
      </c>
      <c r="G165" s="2" t="str">
        <f>_xlfn.XLOOKUP($D$1:$D$361,Products!$A$1:$A$41,Products!$C$1:$C$41)</f>
        <v>Beauty</v>
      </c>
      <c r="H165" s="2">
        <f>_xlfn.XLOOKUP(Sales!D:D,Products!A:A,Products!D:D)</f>
        <v>85.85</v>
      </c>
      <c r="I165" s="2" t="str">
        <f>_xlfn.XLOOKUP(Table1[[#This Row],[CustomerID]],Customer_info!A:A,Customer_info!D:D)</f>
        <v>United States</v>
      </c>
      <c r="J165" s="13">
        <f>Table1[[#This Row],[Quantity]]*Table1[[#This Row],[UnitPrice]]</f>
        <v>171.7</v>
      </c>
    </row>
    <row r="166" spans="1:10" x14ac:dyDescent="0.25">
      <c r="A166" s="2" t="s">
        <v>296</v>
      </c>
      <c r="B166" s="3">
        <v>45416</v>
      </c>
      <c r="C166" s="2" t="s">
        <v>297</v>
      </c>
      <c r="D166" s="2" t="s">
        <v>38</v>
      </c>
      <c r="E166" s="2">
        <v>4</v>
      </c>
      <c r="F166" s="10">
        <v>1337.28</v>
      </c>
      <c r="G166" s="2" t="str">
        <f>_xlfn.XLOOKUP($D$1:$D$361,Products!$A$1:$A$41,Products!$C$1:$C$41)</f>
        <v>Sports</v>
      </c>
      <c r="H166" s="2">
        <f>_xlfn.XLOOKUP(Sales!D:D,Products!A:A,Products!D:D)</f>
        <v>334.32</v>
      </c>
      <c r="I166" s="2" t="str">
        <f>_xlfn.XLOOKUP(Table1[[#This Row],[CustomerID]],Customer_info!A:A,Customer_info!D:D)</f>
        <v>United Kingdom</v>
      </c>
      <c r="J166" s="13">
        <f>Table1[[#This Row],[Quantity]]*Table1[[#This Row],[UnitPrice]]</f>
        <v>1337.28</v>
      </c>
    </row>
    <row r="167" spans="1:10" x14ac:dyDescent="0.25">
      <c r="A167" s="2" t="s">
        <v>298</v>
      </c>
      <c r="B167" s="3">
        <v>45391</v>
      </c>
      <c r="C167" s="2" t="s">
        <v>299</v>
      </c>
      <c r="D167" s="2" t="s">
        <v>44</v>
      </c>
      <c r="E167" s="2">
        <v>1</v>
      </c>
      <c r="F167" s="10">
        <v>272.77999999999997</v>
      </c>
      <c r="G167" s="2" t="str">
        <f>_xlfn.XLOOKUP($D$1:$D$361,Products!$A$1:$A$41,Products!$C$1:$C$41)</f>
        <v>Clothing</v>
      </c>
      <c r="H167" s="2">
        <f>_xlfn.XLOOKUP(Sales!D:D,Products!A:A,Products!D:D)</f>
        <v>272.77999999999997</v>
      </c>
      <c r="I167" s="2" t="str">
        <f>_xlfn.XLOOKUP(Table1[[#This Row],[CustomerID]],Customer_info!A:A,Customer_info!D:D)</f>
        <v>United Kingdom</v>
      </c>
      <c r="J167" s="13">
        <f>Table1[[#This Row],[Quantity]]*Table1[[#This Row],[UnitPrice]]</f>
        <v>272.77999999999997</v>
      </c>
    </row>
    <row r="168" spans="1:10" x14ac:dyDescent="0.25">
      <c r="A168" s="2" t="s">
        <v>300</v>
      </c>
      <c r="B168" s="3">
        <v>45463</v>
      </c>
      <c r="C168" s="2" t="s">
        <v>218</v>
      </c>
      <c r="D168" s="2" t="s">
        <v>52</v>
      </c>
      <c r="E168" s="2">
        <v>3</v>
      </c>
      <c r="F168" s="10">
        <v>257.55</v>
      </c>
      <c r="G168" s="2" t="str">
        <f>_xlfn.XLOOKUP($D$1:$D$361,Products!$A$1:$A$41,Products!$C$1:$C$41)</f>
        <v>Beauty</v>
      </c>
      <c r="H168" s="2">
        <f>_xlfn.XLOOKUP(Sales!D:D,Products!A:A,Products!D:D)</f>
        <v>85.85</v>
      </c>
      <c r="I168" s="2" t="str">
        <f>_xlfn.XLOOKUP(Table1[[#This Row],[CustomerID]],Customer_info!A:A,Customer_info!D:D)</f>
        <v>United States</v>
      </c>
      <c r="J168" s="13">
        <f>Table1[[#This Row],[Quantity]]*Table1[[#This Row],[UnitPrice]]</f>
        <v>257.54999999999995</v>
      </c>
    </row>
    <row r="169" spans="1:10" x14ac:dyDescent="0.25">
      <c r="A169" s="2" t="s">
        <v>301</v>
      </c>
      <c r="B169" s="3">
        <v>45334</v>
      </c>
      <c r="C169" s="2" t="s">
        <v>302</v>
      </c>
      <c r="D169" s="2" t="s">
        <v>129</v>
      </c>
      <c r="E169" s="2">
        <v>4</v>
      </c>
      <c r="F169" s="10">
        <v>466.68</v>
      </c>
      <c r="G169" s="2" t="str">
        <f>_xlfn.XLOOKUP($D$1:$D$361,Products!$A$1:$A$41,Products!$C$1:$C$41)</f>
        <v>Home</v>
      </c>
      <c r="H169" s="2">
        <f>_xlfn.XLOOKUP(Sales!D:D,Products!A:A,Products!D:D)</f>
        <v>116.67</v>
      </c>
      <c r="I169" s="2" t="str">
        <f>_xlfn.XLOOKUP(Table1[[#This Row],[CustomerID]],Customer_info!A:A,Customer_info!D:D)</f>
        <v>United States</v>
      </c>
      <c r="J169" s="13">
        <f>Table1[[#This Row],[Quantity]]*Table1[[#This Row],[UnitPrice]]</f>
        <v>466.68</v>
      </c>
    </row>
    <row r="170" spans="1:10" x14ac:dyDescent="0.25">
      <c r="A170" s="2" t="s">
        <v>303</v>
      </c>
      <c r="B170" s="3">
        <v>45324</v>
      </c>
      <c r="C170" s="2" t="s">
        <v>139</v>
      </c>
      <c r="D170" s="2" t="s">
        <v>304</v>
      </c>
      <c r="E170" s="2">
        <v>4</v>
      </c>
      <c r="F170" s="10">
        <v>1096.8800000000001</v>
      </c>
      <c r="G170" s="2" t="str">
        <f>_xlfn.XLOOKUP($D$1:$D$361,Products!$A$1:$A$41,Products!$C$1:$C$41)</f>
        <v>Clothing</v>
      </c>
      <c r="H170" s="2">
        <f>_xlfn.XLOOKUP(Sales!D:D,Products!A:A,Products!D:D)</f>
        <v>274.22000000000003</v>
      </c>
      <c r="I170" s="2" t="str">
        <f>_xlfn.XLOOKUP(Table1[[#This Row],[CustomerID]],Customer_info!A:A,Customer_info!D:D)</f>
        <v>United States</v>
      </c>
      <c r="J170" s="13">
        <f>Table1[[#This Row],[Quantity]]*Table1[[#This Row],[UnitPrice]]</f>
        <v>1096.8800000000001</v>
      </c>
    </row>
    <row r="171" spans="1:10" x14ac:dyDescent="0.25">
      <c r="A171" s="2" t="s">
        <v>305</v>
      </c>
      <c r="B171" s="3">
        <v>45428</v>
      </c>
      <c r="C171" s="2" t="s">
        <v>13</v>
      </c>
      <c r="D171" s="2" t="s">
        <v>132</v>
      </c>
      <c r="E171" s="2">
        <v>5</v>
      </c>
      <c r="F171" s="10">
        <v>1689</v>
      </c>
      <c r="G171" s="2" t="str">
        <f>_xlfn.XLOOKUP($D$1:$D$361,Products!$A$1:$A$41,Products!$C$1:$C$41)</f>
        <v>Home</v>
      </c>
      <c r="H171" s="2">
        <f>_xlfn.XLOOKUP(Sales!D:D,Products!A:A,Products!D:D)</f>
        <v>337.8</v>
      </c>
      <c r="I171" s="2" t="str">
        <f>_xlfn.XLOOKUP(Table1[[#This Row],[CustomerID]],Customer_info!A:A,Customer_info!D:D)</f>
        <v>Canada</v>
      </c>
      <c r="J171" s="13">
        <f>Table1[[#This Row],[Quantity]]*Table1[[#This Row],[UnitPrice]]</f>
        <v>1689</v>
      </c>
    </row>
    <row r="172" spans="1:10" x14ac:dyDescent="0.25">
      <c r="A172" s="2" t="s">
        <v>306</v>
      </c>
      <c r="B172" s="3">
        <v>45392</v>
      </c>
      <c r="C172" s="2" t="s">
        <v>307</v>
      </c>
      <c r="D172" s="2" t="s">
        <v>17</v>
      </c>
      <c r="E172" s="2">
        <v>1</v>
      </c>
      <c r="F172" s="10">
        <v>394.46</v>
      </c>
      <c r="G172" s="2" t="str">
        <f>_xlfn.XLOOKUP($D$1:$D$361,Products!$A$1:$A$41,Products!$C$1:$C$41)</f>
        <v>Clothing</v>
      </c>
      <c r="H172" s="2">
        <f>_xlfn.XLOOKUP(Sales!D:D,Products!A:A,Products!D:D)</f>
        <v>394.46</v>
      </c>
      <c r="I172" s="2" t="str">
        <f>_xlfn.XLOOKUP(Table1[[#This Row],[CustomerID]],Customer_info!A:A,Customer_info!D:D)</f>
        <v>Canada</v>
      </c>
      <c r="J172" s="13">
        <f>Table1[[#This Row],[Quantity]]*Table1[[#This Row],[UnitPrice]]</f>
        <v>394.46</v>
      </c>
    </row>
    <row r="173" spans="1:10" x14ac:dyDescent="0.25">
      <c r="A173" s="2" t="s">
        <v>308</v>
      </c>
      <c r="B173" s="3">
        <v>45436</v>
      </c>
      <c r="C173" s="2" t="s">
        <v>245</v>
      </c>
      <c r="D173" s="2" t="s">
        <v>81</v>
      </c>
      <c r="E173" s="2">
        <v>5</v>
      </c>
      <c r="F173" s="10">
        <v>2166.4</v>
      </c>
      <c r="G173" s="2" t="str">
        <f>_xlfn.XLOOKUP($D$1:$D$361,Products!$A$1:$A$41,Products!$C$1:$C$41)</f>
        <v>Beauty</v>
      </c>
      <c r="H173" s="2">
        <f>_xlfn.XLOOKUP(Sales!D:D,Products!A:A,Products!D:D)</f>
        <v>433.28</v>
      </c>
      <c r="I173" s="2" t="str">
        <f>_xlfn.XLOOKUP(Table1[[#This Row],[CustomerID]],Customer_info!A:A,Customer_info!D:D)</f>
        <v>United Kingdom</v>
      </c>
      <c r="J173" s="13">
        <f>Table1[[#This Row],[Quantity]]*Table1[[#This Row],[UnitPrice]]</f>
        <v>2166.3999999999996</v>
      </c>
    </row>
    <row r="174" spans="1:10" x14ac:dyDescent="0.25">
      <c r="A174" s="2" t="s">
        <v>309</v>
      </c>
      <c r="B174" s="3">
        <v>45313</v>
      </c>
      <c r="C174" s="2" t="s">
        <v>310</v>
      </c>
      <c r="D174" s="2" t="s">
        <v>8</v>
      </c>
      <c r="E174" s="2">
        <v>1</v>
      </c>
      <c r="F174" s="10">
        <v>419.65</v>
      </c>
      <c r="G174" s="2" t="str">
        <f>_xlfn.XLOOKUP($D$1:$D$361,Products!$A$1:$A$41,Products!$C$1:$C$41)</f>
        <v>Sports</v>
      </c>
      <c r="H174" s="2">
        <f>_xlfn.XLOOKUP(Sales!D:D,Products!A:A,Products!D:D)</f>
        <v>419.65</v>
      </c>
      <c r="I174" s="2" t="str">
        <f>_xlfn.XLOOKUP(Table1[[#This Row],[CustomerID]],Customer_info!A:A,Customer_info!D:D)</f>
        <v>United States</v>
      </c>
      <c r="J174" s="13">
        <f>Table1[[#This Row],[Quantity]]*Table1[[#This Row],[UnitPrice]]</f>
        <v>419.65</v>
      </c>
    </row>
    <row r="175" spans="1:10" x14ac:dyDescent="0.25">
      <c r="A175" s="2" t="s">
        <v>311</v>
      </c>
      <c r="B175" s="3">
        <v>45326</v>
      </c>
      <c r="C175" s="2" t="s">
        <v>312</v>
      </c>
      <c r="D175" s="2" t="s">
        <v>124</v>
      </c>
      <c r="E175" s="2">
        <v>4</v>
      </c>
      <c r="F175" s="10">
        <v>158.80000000000001</v>
      </c>
      <c r="G175" s="2" t="str">
        <f>_xlfn.XLOOKUP($D$1:$D$361,Products!$A$1:$A$41,Products!$C$1:$C$41)</f>
        <v>Electronics</v>
      </c>
      <c r="H175" s="2">
        <f>_xlfn.XLOOKUP(Sales!D:D,Products!A:A,Products!D:D)</f>
        <v>39.700000000000003</v>
      </c>
      <c r="I175" s="2" t="str">
        <f>_xlfn.XLOOKUP(Table1[[#This Row],[CustomerID]],Customer_info!A:A,Customer_info!D:D)</f>
        <v>United Kingdom</v>
      </c>
      <c r="J175" s="13">
        <f>Table1[[#This Row],[Quantity]]*Table1[[#This Row],[UnitPrice]]</f>
        <v>158.80000000000001</v>
      </c>
    </row>
    <row r="176" spans="1:10" x14ac:dyDescent="0.25">
      <c r="A176" s="2" t="s">
        <v>313</v>
      </c>
      <c r="B176" s="3">
        <v>45338</v>
      </c>
      <c r="C176" s="2" t="s">
        <v>269</v>
      </c>
      <c r="D176" s="2" t="s">
        <v>28</v>
      </c>
      <c r="E176" s="2">
        <v>4</v>
      </c>
      <c r="F176" s="10">
        <v>1808.8</v>
      </c>
      <c r="G176" s="2" t="str">
        <f>_xlfn.XLOOKUP($D$1:$D$361,Products!$A$1:$A$41,Products!$C$1:$C$41)</f>
        <v>Beauty</v>
      </c>
      <c r="H176" s="2">
        <f>_xlfn.XLOOKUP(Sales!D:D,Products!A:A,Products!D:D)</f>
        <v>452.2</v>
      </c>
      <c r="I176" s="2" t="str">
        <f>_xlfn.XLOOKUP(Table1[[#This Row],[CustomerID]],Customer_info!A:A,Customer_info!D:D)</f>
        <v>United Kingdom</v>
      </c>
      <c r="J176" s="13">
        <f>Table1[[#This Row],[Quantity]]*Table1[[#This Row],[UnitPrice]]</f>
        <v>1808.8</v>
      </c>
    </row>
    <row r="177" spans="1:10" x14ac:dyDescent="0.25">
      <c r="A177" s="2" t="s">
        <v>314</v>
      </c>
      <c r="B177" s="3">
        <v>45358</v>
      </c>
      <c r="C177" s="2" t="s">
        <v>315</v>
      </c>
      <c r="D177" s="2" t="s">
        <v>52</v>
      </c>
      <c r="E177" s="2">
        <v>1</v>
      </c>
      <c r="F177" s="10">
        <v>85.85</v>
      </c>
      <c r="G177" s="2" t="str">
        <f>_xlfn.XLOOKUP($D$1:$D$361,Products!$A$1:$A$41,Products!$C$1:$C$41)</f>
        <v>Beauty</v>
      </c>
      <c r="H177" s="2">
        <f>_xlfn.XLOOKUP(Sales!D:D,Products!A:A,Products!D:D)</f>
        <v>85.85</v>
      </c>
      <c r="I177" s="2" t="str">
        <f>_xlfn.XLOOKUP(Table1[[#This Row],[CustomerID]],Customer_info!A:A,Customer_info!D:D)</f>
        <v>United States</v>
      </c>
      <c r="J177" s="13">
        <f>Table1[[#This Row],[Quantity]]*Table1[[#This Row],[UnitPrice]]</f>
        <v>85.85</v>
      </c>
    </row>
    <row r="178" spans="1:10" x14ac:dyDescent="0.25">
      <c r="A178" s="2" t="s">
        <v>316</v>
      </c>
      <c r="B178" s="3">
        <v>45375</v>
      </c>
      <c r="C178" s="2" t="s">
        <v>111</v>
      </c>
      <c r="D178" s="2" t="s">
        <v>108</v>
      </c>
      <c r="E178" s="2">
        <v>4</v>
      </c>
      <c r="F178" s="10">
        <v>197</v>
      </c>
      <c r="G178" s="2" t="str">
        <f>_xlfn.XLOOKUP($D$1:$D$361,Products!$A$1:$A$41,Products!$C$1:$C$41)</f>
        <v>Sports</v>
      </c>
      <c r="H178" s="2">
        <f>_xlfn.XLOOKUP(Sales!D:D,Products!A:A,Products!D:D)</f>
        <v>49.25</v>
      </c>
      <c r="I178" s="2" t="str">
        <f>_xlfn.XLOOKUP(Table1[[#This Row],[CustomerID]],Customer_info!A:A,Customer_info!D:D)</f>
        <v>United Kingdom</v>
      </c>
      <c r="J178" s="13">
        <f>Table1[[#This Row],[Quantity]]*Table1[[#This Row],[UnitPrice]]</f>
        <v>197</v>
      </c>
    </row>
    <row r="179" spans="1:10" x14ac:dyDescent="0.25">
      <c r="A179" s="2" t="s">
        <v>317</v>
      </c>
      <c r="B179" s="3">
        <v>45408</v>
      </c>
      <c r="C179" s="2" t="s">
        <v>318</v>
      </c>
      <c r="D179" s="2" t="s">
        <v>35</v>
      </c>
      <c r="E179" s="2">
        <v>2</v>
      </c>
      <c r="F179" s="10">
        <v>584.67999999999995</v>
      </c>
      <c r="G179" s="2" t="str">
        <f>_xlfn.XLOOKUP($D$1:$D$361,Products!$A$1:$A$41,Products!$C$1:$C$41)</f>
        <v>Sports</v>
      </c>
      <c r="H179" s="2">
        <f>_xlfn.XLOOKUP(Sales!D:D,Products!A:A,Products!D:D)</f>
        <v>292.33999999999997</v>
      </c>
      <c r="I179" s="2" t="str">
        <f>_xlfn.XLOOKUP(Table1[[#This Row],[CustomerID]],Customer_info!A:A,Customer_info!D:D)</f>
        <v>United Kingdom</v>
      </c>
      <c r="J179" s="13">
        <f>Table1[[#This Row],[Quantity]]*Table1[[#This Row],[UnitPrice]]</f>
        <v>584.67999999999995</v>
      </c>
    </row>
    <row r="180" spans="1:10" x14ac:dyDescent="0.25">
      <c r="A180" s="2" t="s">
        <v>319</v>
      </c>
      <c r="B180" s="3">
        <v>45378</v>
      </c>
      <c r="C180" s="2" t="s">
        <v>167</v>
      </c>
      <c r="D180" s="2" t="s">
        <v>124</v>
      </c>
      <c r="E180" s="2">
        <v>3</v>
      </c>
      <c r="F180" s="10">
        <v>119.1</v>
      </c>
      <c r="G180" s="2" t="str">
        <f>_xlfn.XLOOKUP($D$1:$D$361,Products!$A$1:$A$41,Products!$C$1:$C$41)</f>
        <v>Electronics</v>
      </c>
      <c r="H180" s="2">
        <f>_xlfn.XLOOKUP(Sales!D:D,Products!A:A,Products!D:D)</f>
        <v>39.700000000000003</v>
      </c>
      <c r="I180" s="2" t="str">
        <f>_xlfn.XLOOKUP(Table1[[#This Row],[CustomerID]],Customer_info!A:A,Customer_info!D:D)</f>
        <v>United Kingdom</v>
      </c>
      <c r="J180" s="13">
        <f>Table1[[#This Row],[Quantity]]*Table1[[#This Row],[UnitPrice]]</f>
        <v>119.10000000000001</v>
      </c>
    </row>
    <row r="181" spans="1:10" x14ac:dyDescent="0.25">
      <c r="A181" s="2" t="s">
        <v>320</v>
      </c>
      <c r="B181" s="3">
        <v>45363</v>
      </c>
      <c r="C181" s="2" t="s">
        <v>206</v>
      </c>
      <c r="D181" s="2" t="s">
        <v>35</v>
      </c>
      <c r="E181" s="2">
        <v>4</v>
      </c>
      <c r="F181" s="10">
        <v>1169.3599999999999</v>
      </c>
      <c r="G181" s="2" t="str">
        <f>_xlfn.XLOOKUP($D$1:$D$361,Products!$A$1:$A$41,Products!$C$1:$C$41)</f>
        <v>Sports</v>
      </c>
      <c r="H181" s="2">
        <f>_xlfn.XLOOKUP(Sales!D:D,Products!A:A,Products!D:D)</f>
        <v>292.33999999999997</v>
      </c>
      <c r="I181" s="2" t="str">
        <f>_xlfn.XLOOKUP(Table1[[#This Row],[CustomerID]],Customer_info!A:A,Customer_info!D:D)</f>
        <v>Canada</v>
      </c>
      <c r="J181" s="13">
        <f>Table1[[#This Row],[Quantity]]*Table1[[#This Row],[UnitPrice]]</f>
        <v>1169.3599999999999</v>
      </c>
    </row>
    <row r="182" spans="1:10" x14ac:dyDescent="0.25">
      <c r="A182" s="2" t="s">
        <v>321</v>
      </c>
      <c r="B182" s="3">
        <v>45356</v>
      </c>
      <c r="C182" s="2" t="s">
        <v>145</v>
      </c>
      <c r="D182" s="2" t="s">
        <v>8</v>
      </c>
      <c r="E182" s="2">
        <v>4</v>
      </c>
      <c r="F182" s="10">
        <v>1678.6</v>
      </c>
      <c r="G182" s="2" t="str">
        <f>_xlfn.XLOOKUP($D$1:$D$361,Products!$A$1:$A$41,Products!$C$1:$C$41)</f>
        <v>Sports</v>
      </c>
      <c r="H182" s="2">
        <f>_xlfn.XLOOKUP(Sales!D:D,Products!A:A,Products!D:D)</f>
        <v>419.65</v>
      </c>
      <c r="I182" s="2" t="str">
        <f>_xlfn.XLOOKUP(Table1[[#This Row],[CustomerID]],Customer_info!A:A,Customer_info!D:D)</f>
        <v>United Kingdom</v>
      </c>
      <c r="J182" s="13">
        <f>Table1[[#This Row],[Quantity]]*Table1[[#This Row],[UnitPrice]]</f>
        <v>1678.6</v>
      </c>
    </row>
    <row r="183" spans="1:10" x14ac:dyDescent="0.25">
      <c r="A183" s="2" t="s">
        <v>322</v>
      </c>
      <c r="B183" s="3">
        <v>45412</v>
      </c>
      <c r="C183" s="2" t="s">
        <v>323</v>
      </c>
      <c r="D183" s="2" t="s">
        <v>178</v>
      </c>
      <c r="E183" s="2">
        <v>1</v>
      </c>
      <c r="F183" s="10">
        <v>217.55</v>
      </c>
      <c r="G183" s="2" t="str">
        <f>_xlfn.XLOOKUP($D$1:$D$361,Products!$A$1:$A$41,Products!$C$1:$C$41)</f>
        <v>Home</v>
      </c>
      <c r="H183" s="2">
        <f>_xlfn.XLOOKUP(Sales!D:D,Products!A:A,Products!D:D)</f>
        <v>217.55</v>
      </c>
      <c r="I183" s="2" t="str">
        <f>_xlfn.XLOOKUP(Table1[[#This Row],[CustomerID]],Customer_info!A:A,Customer_info!D:D)</f>
        <v>United States</v>
      </c>
      <c r="J183" s="13">
        <f>Table1[[#This Row],[Quantity]]*Table1[[#This Row],[UnitPrice]]</f>
        <v>217.55</v>
      </c>
    </row>
    <row r="184" spans="1:10" x14ac:dyDescent="0.25">
      <c r="A184" s="2" t="s">
        <v>324</v>
      </c>
      <c r="B184" s="3">
        <v>45430</v>
      </c>
      <c r="C184" s="2" t="s">
        <v>245</v>
      </c>
      <c r="D184" s="2" t="s">
        <v>129</v>
      </c>
      <c r="E184" s="2">
        <v>1</v>
      </c>
      <c r="F184" s="10">
        <v>116.67</v>
      </c>
      <c r="G184" s="2" t="str">
        <f>_xlfn.XLOOKUP($D$1:$D$361,Products!$A$1:$A$41,Products!$C$1:$C$41)</f>
        <v>Home</v>
      </c>
      <c r="H184" s="2">
        <f>_xlfn.XLOOKUP(Sales!D:D,Products!A:A,Products!D:D)</f>
        <v>116.67</v>
      </c>
      <c r="I184" s="2" t="str">
        <f>_xlfn.XLOOKUP(Table1[[#This Row],[CustomerID]],Customer_info!A:A,Customer_info!D:D)</f>
        <v>United Kingdom</v>
      </c>
      <c r="J184" s="13">
        <f>Table1[[#This Row],[Quantity]]*Table1[[#This Row],[UnitPrice]]</f>
        <v>116.67</v>
      </c>
    </row>
    <row r="185" spans="1:10" x14ac:dyDescent="0.25">
      <c r="A185" s="2" t="s">
        <v>325</v>
      </c>
      <c r="B185" s="3">
        <v>45381</v>
      </c>
      <c r="C185" s="2" t="s">
        <v>233</v>
      </c>
      <c r="D185" s="2" t="s">
        <v>17</v>
      </c>
      <c r="E185" s="2">
        <v>1</v>
      </c>
      <c r="F185" s="10">
        <v>394.46</v>
      </c>
      <c r="G185" s="2" t="str">
        <f>_xlfn.XLOOKUP($D$1:$D$361,Products!$A$1:$A$41,Products!$C$1:$C$41)</f>
        <v>Clothing</v>
      </c>
      <c r="H185" s="2">
        <f>_xlfn.XLOOKUP(Sales!D:D,Products!A:A,Products!D:D)</f>
        <v>394.46</v>
      </c>
      <c r="I185" s="2" t="str">
        <f>_xlfn.XLOOKUP(Table1[[#This Row],[CustomerID]],Customer_info!A:A,Customer_info!D:D)</f>
        <v>India</v>
      </c>
      <c r="J185" s="13">
        <f>Table1[[#This Row],[Quantity]]*Table1[[#This Row],[UnitPrice]]</f>
        <v>394.46</v>
      </c>
    </row>
    <row r="186" spans="1:10" x14ac:dyDescent="0.25">
      <c r="A186" s="2" t="s">
        <v>326</v>
      </c>
      <c r="B186" s="3">
        <v>45458</v>
      </c>
      <c r="C186" s="2" t="s">
        <v>76</v>
      </c>
      <c r="D186" s="2" t="s">
        <v>28</v>
      </c>
      <c r="E186" s="2">
        <v>2</v>
      </c>
      <c r="F186" s="10">
        <v>904.4</v>
      </c>
      <c r="G186" s="2" t="str">
        <f>_xlfn.XLOOKUP($D$1:$D$361,Products!$A$1:$A$41,Products!$C$1:$C$41)</f>
        <v>Beauty</v>
      </c>
      <c r="H186" s="2">
        <f>_xlfn.XLOOKUP(Sales!D:D,Products!A:A,Products!D:D)</f>
        <v>452.2</v>
      </c>
      <c r="I186" s="2" t="str">
        <f>_xlfn.XLOOKUP(Table1[[#This Row],[CustomerID]],Customer_info!A:A,Customer_info!D:D)</f>
        <v>United Kingdom</v>
      </c>
      <c r="J186" s="13">
        <f>Table1[[#This Row],[Quantity]]*Table1[[#This Row],[UnitPrice]]</f>
        <v>904.4</v>
      </c>
    </row>
    <row r="187" spans="1:10" x14ac:dyDescent="0.25">
      <c r="A187" s="2" t="s">
        <v>327</v>
      </c>
      <c r="B187" s="3">
        <v>45458</v>
      </c>
      <c r="C187" s="2" t="s">
        <v>87</v>
      </c>
      <c r="D187" s="2" t="s">
        <v>52</v>
      </c>
      <c r="E187" s="2">
        <v>1</v>
      </c>
      <c r="F187" s="10">
        <v>85.85</v>
      </c>
      <c r="G187" s="2" t="str">
        <f>_xlfn.XLOOKUP($D$1:$D$361,Products!$A$1:$A$41,Products!$C$1:$C$41)</f>
        <v>Beauty</v>
      </c>
      <c r="H187" s="2">
        <f>_xlfn.XLOOKUP(Sales!D:D,Products!A:A,Products!D:D)</f>
        <v>85.85</v>
      </c>
      <c r="I187" s="2" t="str">
        <f>_xlfn.XLOOKUP(Table1[[#This Row],[CustomerID]],Customer_info!A:A,Customer_info!D:D)</f>
        <v>United Kingdom</v>
      </c>
      <c r="J187" s="13">
        <f>Table1[[#This Row],[Quantity]]*Table1[[#This Row],[UnitPrice]]</f>
        <v>85.85</v>
      </c>
    </row>
    <row r="188" spans="1:10" x14ac:dyDescent="0.25">
      <c r="A188" s="2" t="s">
        <v>328</v>
      </c>
      <c r="B188" s="3">
        <v>45299</v>
      </c>
      <c r="C188" s="2" t="s">
        <v>182</v>
      </c>
      <c r="D188" s="2" t="s">
        <v>146</v>
      </c>
      <c r="E188" s="2">
        <v>1</v>
      </c>
      <c r="F188" s="10">
        <v>332.9</v>
      </c>
      <c r="G188" s="2" t="str">
        <f>_xlfn.XLOOKUP($D$1:$D$361,Products!$A$1:$A$41,Products!$C$1:$C$41)</f>
        <v>Electronics</v>
      </c>
      <c r="H188" s="2">
        <f>_xlfn.XLOOKUP(Sales!D:D,Products!A:A,Products!D:D)</f>
        <v>332.9</v>
      </c>
      <c r="I188" s="2" t="str">
        <f>_xlfn.XLOOKUP(Table1[[#This Row],[CustomerID]],Customer_info!A:A,Customer_info!D:D)</f>
        <v>Canada</v>
      </c>
      <c r="J188" s="13">
        <f>Table1[[#This Row],[Quantity]]*Table1[[#This Row],[UnitPrice]]</f>
        <v>332.9</v>
      </c>
    </row>
    <row r="189" spans="1:10" x14ac:dyDescent="0.25">
      <c r="A189" s="2" t="s">
        <v>329</v>
      </c>
      <c r="B189" s="3">
        <v>45343</v>
      </c>
      <c r="C189" s="2" t="s">
        <v>85</v>
      </c>
      <c r="D189" s="2" t="s">
        <v>52</v>
      </c>
      <c r="E189" s="2">
        <v>2</v>
      </c>
      <c r="F189" s="10">
        <v>171.7</v>
      </c>
      <c r="G189" s="2" t="str">
        <f>_xlfn.XLOOKUP($D$1:$D$361,Products!$A$1:$A$41,Products!$C$1:$C$41)</f>
        <v>Beauty</v>
      </c>
      <c r="H189" s="2">
        <f>_xlfn.XLOOKUP(Sales!D:D,Products!A:A,Products!D:D)</f>
        <v>85.85</v>
      </c>
      <c r="I189" s="2" t="str">
        <f>_xlfn.XLOOKUP(Table1[[#This Row],[CustomerID]],Customer_info!A:A,Customer_info!D:D)</f>
        <v>United Kingdom</v>
      </c>
      <c r="J189" s="13">
        <f>Table1[[#This Row],[Quantity]]*Table1[[#This Row],[UnitPrice]]</f>
        <v>171.7</v>
      </c>
    </row>
    <row r="190" spans="1:10" x14ac:dyDescent="0.25">
      <c r="A190" s="2" t="s">
        <v>330</v>
      </c>
      <c r="B190" s="3">
        <v>45451</v>
      </c>
      <c r="C190" s="2" t="s">
        <v>172</v>
      </c>
      <c r="D190" s="2" t="s">
        <v>132</v>
      </c>
      <c r="E190" s="2">
        <v>1</v>
      </c>
      <c r="F190" s="10">
        <v>337.8</v>
      </c>
      <c r="G190" s="2" t="str">
        <f>_xlfn.XLOOKUP($D$1:$D$361,Products!$A$1:$A$41,Products!$C$1:$C$41)</f>
        <v>Home</v>
      </c>
      <c r="H190" s="2">
        <f>_xlfn.XLOOKUP(Sales!D:D,Products!A:A,Products!D:D)</f>
        <v>337.8</v>
      </c>
      <c r="I190" s="2" t="str">
        <f>_xlfn.XLOOKUP(Table1[[#This Row],[CustomerID]],Customer_info!A:A,Customer_info!D:D)</f>
        <v>Canada</v>
      </c>
      <c r="J190" s="13">
        <f>Table1[[#This Row],[Quantity]]*Table1[[#This Row],[UnitPrice]]</f>
        <v>337.8</v>
      </c>
    </row>
    <row r="191" spans="1:10" x14ac:dyDescent="0.25">
      <c r="A191" s="2" t="s">
        <v>331</v>
      </c>
      <c r="B191" s="3">
        <v>45353</v>
      </c>
      <c r="C191" s="2" t="s">
        <v>111</v>
      </c>
      <c r="D191" s="2" t="s">
        <v>260</v>
      </c>
      <c r="E191" s="2">
        <v>2</v>
      </c>
      <c r="F191" s="10">
        <v>391.4</v>
      </c>
      <c r="G191" s="2" t="str">
        <f>_xlfn.XLOOKUP($D$1:$D$361,Products!$A$1:$A$41,Products!$C$1:$C$41)</f>
        <v>Clothing</v>
      </c>
      <c r="H191" s="2">
        <f>_xlfn.XLOOKUP(Sales!D:D,Products!A:A,Products!D:D)</f>
        <v>195.7</v>
      </c>
      <c r="I191" s="2" t="str">
        <f>_xlfn.XLOOKUP(Table1[[#This Row],[CustomerID]],Customer_info!A:A,Customer_info!D:D)</f>
        <v>United Kingdom</v>
      </c>
      <c r="J191" s="13">
        <f>Table1[[#This Row],[Quantity]]*Table1[[#This Row],[UnitPrice]]</f>
        <v>391.4</v>
      </c>
    </row>
    <row r="192" spans="1:10" x14ac:dyDescent="0.25">
      <c r="A192" s="2" t="s">
        <v>332</v>
      </c>
      <c r="B192" s="3">
        <v>45413</v>
      </c>
      <c r="C192" s="2" t="s">
        <v>46</v>
      </c>
      <c r="D192" s="2" t="s">
        <v>41</v>
      </c>
      <c r="E192" s="2">
        <v>2</v>
      </c>
      <c r="F192" s="10">
        <v>76.02</v>
      </c>
      <c r="G192" s="2" t="str">
        <f>_xlfn.XLOOKUP($D$1:$D$361,Products!$A$1:$A$41,Products!$C$1:$C$41)</f>
        <v>Home</v>
      </c>
      <c r="H192" s="2">
        <f>_xlfn.XLOOKUP(Sales!D:D,Products!A:A,Products!D:D)</f>
        <v>38.01</v>
      </c>
      <c r="I192" s="2" t="str">
        <f>_xlfn.XLOOKUP(Table1[[#This Row],[CustomerID]],Customer_info!A:A,Customer_info!D:D)</f>
        <v>United Kingdom</v>
      </c>
      <c r="J192" s="13">
        <f>Table1[[#This Row],[Quantity]]*Table1[[#This Row],[UnitPrice]]</f>
        <v>76.02</v>
      </c>
    </row>
    <row r="193" spans="1:10" x14ac:dyDescent="0.25">
      <c r="A193" s="2" t="s">
        <v>333</v>
      </c>
      <c r="B193" s="3">
        <v>45436</v>
      </c>
      <c r="C193" s="2" t="s">
        <v>334</v>
      </c>
      <c r="D193" s="2" t="s">
        <v>160</v>
      </c>
      <c r="E193" s="2">
        <v>1</v>
      </c>
      <c r="F193" s="10">
        <v>43.58</v>
      </c>
      <c r="G193" s="2" t="str">
        <f>_xlfn.XLOOKUP($D$1:$D$361,Products!$A$1:$A$41,Products!$C$1:$C$41)</f>
        <v>Clothing</v>
      </c>
      <c r="H193" s="2">
        <f>_xlfn.XLOOKUP(Sales!D:D,Products!A:A,Products!D:D)</f>
        <v>43.58</v>
      </c>
      <c r="I193" s="2" t="str">
        <f>_xlfn.XLOOKUP(Table1[[#This Row],[CustomerID]],Customer_info!A:A,Customer_info!D:D)</f>
        <v>United Kingdom</v>
      </c>
      <c r="J193" s="13">
        <f>Table1[[#This Row],[Quantity]]*Table1[[#This Row],[UnitPrice]]</f>
        <v>43.58</v>
      </c>
    </row>
    <row r="194" spans="1:10" x14ac:dyDescent="0.25">
      <c r="A194" s="2" t="s">
        <v>335</v>
      </c>
      <c r="B194" s="3">
        <v>45411</v>
      </c>
      <c r="C194" s="2" t="s">
        <v>57</v>
      </c>
      <c r="D194" s="2" t="s">
        <v>114</v>
      </c>
      <c r="E194" s="2">
        <v>2</v>
      </c>
      <c r="F194" s="10">
        <v>454.26</v>
      </c>
      <c r="G194" s="2" t="str">
        <f>_xlfn.XLOOKUP($D$1:$D$361,Products!$A$1:$A$41,Products!$C$1:$C$41)</f>
        <v>Electronics</v>
      </c>
      <c r="H194" s="2">
        <f>_xlfn.XLOOKUP(Sales!D:D,Products!A:A,Products!D:D)</f>
        <v>227.13</v>
      </c>
      <c r="I194" s="2" t="str">
        <f>_xlfn.XLOOKUP(Table1[[#This Row],[CustomerID]],Customer_info!A:A,Customer_info!D:D)</f>
        <v>United Kingdom</v>
      </c>
      <c r="J194" s="13">
        <f>Table1[[#This Row],[Quantity]]*Table1[[#This Row],[UnitPrice]]</f>
        <v>454.26</v>
      </c>
    </row>
    <row r="195" spans="1:10" x14ac:dyDescent="0.25">
      <c r="A195" s="2" t="s">
        <v>336</v>
      </c>
      <c r="B195" s="3">
        <v>45386</v>
      </c>
      <c r="C195" s="2" t="s">
        <v>185</v>
      </c>
      <c r="D195" s="2" t="s">
        <v>55</v>
      </c>
      <c r="E195" s="2">
        <v>3</v>
      </c>
      <c r="F195" s="10">
        <v>391.95</v>
      </c>
      <c r="G195" s="2" t="str">
        <f>_xlfn.XLOOKUP($D$1:$D$361,Products!$A$1:$A$41,Products!$C$1:$C$41)</f>
        <v>Sports</v>
      </c>
      <c r="H195" s="2">
        <f>_xlfn.XLOOKUP(Sales!D:D,Products!A:A,Products!D:D)</f>
        <v>130.65</v>
      </c>
      <c r="I195" s="2" t="str">
        <f>_xlfn.XLOOKUP(Table1[[#This Row],[CustomerID]],Customer_info!A:A,Customer_info!D:D)</f>
        <v>India</v>
      </c>
      <c r="J195" s="13">
        <f>Table1[[#This Row],[Quantity]]*Table1[[#This Row],[UnitPrice]]</f>
        <v>391.95000000000005</v>
      </c>
    </row>
    <row r="196" spans="1:10" x14ac:dyDescent="0.25">
      <c r="A196" s="2" t="s">
        <v>337</v>
      </c>
      <c r="B196" s="3">
        <v>45447</v>
      </c>
      <c r="C196" s="2" t="s">
        <v>7</v>
      </c>
      <c r="D196" s="2" t="s">
        <v>178</v>
      </c>
      <c r="E196" s="2">
        <v>2</v>
      </c>
      <c r="F196" s="10">
        <v>435.1</v>
      </c>
      <c r="G196" s="2" t="str">
        <f>_xlfn.XLOOKUP($D$1:$D$361,Products!$A$1:$A$41,Products!$C$1:$C$41)</f>
        <v>Home</v>
      </c>
      <c r="H196" s="2">
        <f>_xlfn.XLOOKUP(Sales!D:D,Products!A:A,Products!D:D)</f>
        <v>217.55</v>
      </c>
      <c r="I196" s="2" t="str">
        <f>_xlfn.XLOOKUP(Table1[[#This Row],[CustomerID]],Customer_info!A:A,Customer_info!D:D)</f>
        <v>Canada</v>
      </c>
      <c r="J196" s="13">
        <f>Table1[[#This Row],[Quantity]]*Table1[[#This Row],[UnitPrice]]</f>
        <v>435.1</v>
      </c>
    </row>
    <row r="197" spans="1:10" x14ac:dyDescent="0.25">
      <c r="A197" s="2" t="s">
        <v>338</v>
      </c>
      <c r="B197" s="3">
        <v>45321</v>
      </c>
      <c r="C197" s="2" t="s">
        <v>135</v>
      </c>
      <c r="D197" s="2" t="s">
        <v>38</v>
      </c>
      <c r="E197" s="2">
        <v>5</v>
      </c>
      <c r="F197" s="10">
        <v>1671.6</v>
      </c>
      <c r="G197" s="2" t="str">
        <f>_xlfn.XLOOKUP($D$1:$D$361,Products!$A$1:$A$41,Products!$C$1:$C$41)</f>
        <v>Sports</v>
      </c>
      <c r="H197" s="2">
        <f>_xlfn.XLOOKUP(Sales!D:D,Products!A:A,Products!D:D)</f>
        <v>334.32</v>
      </c>
      <c r="I197" s="2" t="str">
        <f>_xlfn.XLOOKUP(Table1[[#This Row],[CustomerID]],Customer_info!A:A,Customer_info!D:D)</f>
        <v>India</v>
      </c>
      <c r="J197" s="13">
        <f>Table1[[#This Row],[Quantity]]*Table1[[#This Row],[UnitPrice]]</f>
        <v>1671.6</v>
      </c>
    </row>
    <row r="198" spans="1:10" x14ac:dyDescent="0.25">
      <c r="A198" s="2" t="s">
        <v>339</v>
      </c>
      <c r="B198" s="3">
        <v>45371</v>
      </c>
      <c r="C198" s="2" t="s">
        <v>83</v>
      </c>
      <c r="D198" s="2" t="s">
        <v>260</v>
      </c>
      <c r="E198" s="2">
        <v>2</v>
      </c>
      <c r="F198" s="10">
        <v>391.4</v>
      </c>
      <c r="G198" s="2" t="str">
        <f>_xlfn.XLOOKUP($D$1:$D$361,Products!$A$1:$A$41,Products!$C$1:$C$41)</f>
        <v>Clothing</v>
      </c>
      <c r="H198" s="2">
        <f>_xlfn.XLOOKUP(Sales!D:D,Products!A:A,Products!D:D)</f>
        <v>195.7</v>
      </c>
      <c r="I198" s="2" t="str">
        <f>_xlfn.XLOOKUP(Table1[[#This Row],[CustomerID]],Customer_info!A:A,Customer_info!D:D)</f>
        <v>United Kingdom</v>
      </c>
      <c r="J198" s="13">
        <f>Table1[[#This Row],[Quantity]]*Table1[[#This Row],[UnitPrice]]</f>
        <v>391.4</v>
      </c>
    </row>
    <row r="199" spans="1:10" x14ac:dyDescent="0.25">
      <c r="A199" s="2" t="s">
        <v>340</v>
      </c>
      <c r="B199" s="3">
        <v>45440</v>
      </c>
      <c r="C199" s="2" t="s">
        <v>135</v>
      </c>
      <c r="D199" s="2" t="s">
        <v>129</v>
      </c>
      <c r="E199" s="2">
        <v>1</v>
      </c>
      <c r="F199" s="10">
        <v>116.67</v>
      </c>
      <c r="G199" s="2" t="str">
        <f>_xlfn.XLOOKUP($D$1:$D$361,Products!$A$1:$A$41,Products!$C$1:$C$41)</f>
        <v>Home</v>
      </c>
      <c r="H199" s="2">
        <f>_xlfn.XLOOKUP(Sales!D:D,Products!A:A,Products!D:D)</f>
        <v>116.67</v>
      </c>
      <c r="I199" s="2" t="str">
        <f>_xlfn.XLOOKUP(Table1[[#This Row],[CustomerID]],Customer_info!A:A,Customer_info!D:D)</f>
        <v>India</v>
      </c>
      <c r="J199" s="13">
        <f>Table1[[#This Row],[Quantity]]*Table1[[#This Row],[UnitPrice]]</f>
        <v>116.67</v>
      </c>
    </row>
    <row r="200" spans="1:10" x14ac:dyDescent="0.25">
      <c r="A200" s="2" t="s">
        <v>341</v>
      </c>
      <c r="B200" s="3">
        <v>45371</v>
      </c>
      <c r="C200" s="2" t="s">
        <v>107</v>
      </c>
      <c r="D200" s="2" t="s">
        <v>260</v>
      </c>
      <c r="E200" s="2">
        <v>1</v>
      </c>
      <c r="F200" s="10">
        <v>195.7</v>
      </c>
      <c r="G200" s="2" t="str">
        <f>_xlfn.XLOOKUP($D$1:$D$361,Products!$A$1:$A$41,Products!$C$1:$C$41)</f>
        <v>Clothing</v>
      </c>
      <c r="H200" s="2">
        <f>_xlfn.XLOOKUP(Sales!D:D,Products!A:A,Products!D:D)</f>
        <v>195.7</v>
      </c>
      <c r="I200" s="2" t="str">
        <f>_xlfn.XLOOKUP(Table1[[#This Row],[CustomerID]],Customer_info!A:A,Customer_info!D:D)</f>
        <v>India</v>
      </c>
      <c r="J200" s="13">
        <f>Table1[[#This Row],[Quantity]]*Table1[[#This Row],[UnitPrice]]</f>
        <v>195.7</v>
      </c>
    </row>
    <row r="201" spans="1:10" x14ac:dyDescent="0.25">
      <c r="A201" s="2" t="s">
        <v>342</v>
      </c>
      <c r="B201" s="3">
        <v>45465</v>
      </c>
      <c r="C201" s="2" t="s">
        <v>188</v>
      </c>
      <c r="D201" s="2" t="s">
        <v>114</v>
      </c>
      <c r="E201" s="2">
        <v>5</v>
      </c>
      <c r="F201" s="10">
        <v>1135.6500000000001</v>
      </c>
      <c r="G201" s="2" t="str">
        <f>_xlfn.XLOOKUP($D$1:$D$361,Products!$A$1:$A$41,Products!$C$1:$C$41)</f>
        <v>Electronics</v>
      </c>
      <c r="H201" s="2">
        <f>_xlfn.XLOOKUP(Sales!D:D,Products!A:A,Products!D:D)</f>
        <v>227.13</v>
      </c>
      <c r="I201" s="2" t="str">
        <f>_xlfn.XLOOKUP(Table1[[#This Row],[CustomerID]],Customer_info!A:A,Customer_info!D:D)</f>
        <v>United Kingdom</v>
      </c>
      <c r="J201" s="13">
        <f>Table1[[#This Row],[Quantity]]*Table1[[#This Row],[UnitPrice]]</f>
        <v>1135.6500000000001</v>
      </c>
    </row>
    <row r="202" spans="1:10" x14ac:dyDescent="0.25">
      <c r="A202" s="2" t="s">
        <v>343</v>
      </c>
      <c r="B202" s="3">
        <v>45393</v>
      </c>
      <c r="C202" s="2" t="s">
        <v>323</v>
      </c>
      <c r="D202" s="2" t="s">
        <v>49</v>
      </c>
      <c r="E202" s="2">
        <v>4</v>
      </c>
      <c r="F202" s="10">
        <v>1175.2</v>
      </c>
      <c r="G202" s="2" t="str">
        <f>_xlfn.XLOOKUP($D$1:$D$361,Products!$A$1:$A$41,Products!$C$1:$C$41)</f>
        <v>Electronics</v>
      </c>
      <c r="H202" s="2">
        <f>_xlfn.XLOOKUP(Sales!D:D,Products!A:A,Products!D:D)</f>
        <v>293.8</v>
      </c>
      <c r="I202" s="2" t="str">
        <f>_xlfn.XLOOKUP(Table1[[#This Row],[CustomerID]],Customer_info!A:A,Customer_info!D:D)</f>
        <v>United States</v>
      </c>
      <c r="J202" s="13">
        <f>Table1[[#This Row],[Quantity]]*Table1[[#This Row],[UnitPrice]]</f>
        <v>1175.2</v>
      </c>
    </row>
    <row r="203" spans="1:10" x14ac:dyDescent="0.25">
      <c r="A203" s="2" t="s">
        <v>344</v>
      </c>
      <c r="B203" s="3">
        <v>45311</v>
      </c>
      <c r="C203" s="2" t="s">
        <v>214</v>
      </c>
      <c r="D203" s="2" t="s">
        <v>108</v>
      </c>
      <c r="E203" s="2">
        <v>2</v>
      </c>
      <c r="F203" s="10">
        <v>98.5</v>
      </c>
      <c r="G203" s="2" t="str">
        <f>_xlfn.XLOOKUP($D$1:$D$361,Products!$A$1:$A$41,Products!$C$1:$C$41)</f>
        <v>Sports</v>
      </c>
      <c r="H203" s="2">
        <f>_xlfn.XLOOKUP(Sales!D:D,Products!A:A,Products!D:D)</f>
        <v>49.25</v>
      </c>
      <c r="I203" s="2" t="str">
        <f>_xlfn.XLOOKUP(Table1[[#This Row],[CustomerID]],Customer_info!A:A,Customer_info!D:D)</f>
        <v>United Kingdom</v>
      </c>
      <c r="J203" s="13">
        <f>Table1[[#This Row],[Quantity]]*Table1[[#This Row],[UnitPrice]]</f>
        <v>98.5</v>
      </c>
    </row>
    <row r="204" spans="1:10" x14ac:dyDescent="0.25">
      <c r="A204" s="2" t="s">
        <v>345</v>
      </c>
      <c r="B204" s="3">
        <v>45468</v>
      </c>
      <c r="C204" s="2" t="s">
        <v>346</v>
      </c>
      <c r="D204" s="2" t="s">
        <v>28</v>
      </c>
      <c r="E204" s="2">
        <v>5</v>
      </c>
      <c r="F204" s="10">
        <v>2261</v>
      </c>
      <c r="G204" s="2" t="str">
        <f>_xlfn.XLOOKUP($D$1:$D$361,Products!$A$1:$A$41,Products!$C$1:$C$41)</f>
        <v>Beauty</v>
      </c>
      <c r="H204" s="2">
        <f>_xlfn.XLOOKUP(Sales!D:D,Products!A:A,Products!D:D)</f>
        <v>452.2</v>
      </c>
      <c r="I204" s="2" t="str">
        <f>_xlfn.XLOOKUP(Table1[[#This Row],[CustomerID]],Customer_info!A:A,Customer_info!D:D)</f>
        <v>Canada</v>
      </c>
      <c r="J204" s="13">
        <f>Table1[[#This Row],[Quantity]]*Table1[[#This Row],[UnitPrice]]</f>
        <v>2261</v>
      </c>
    </row>
    <row r="205" spans="1:10" x14ac:dyDescent="0.25">
      <c r="A205" s="2" t="s">
        <v>347</v>
      </c>
      <c r="B205" s="3">
        <v>45318</v>
      </c>
      <c r="C205" s="2" t="s">
        <v>10</v>
      </c>
      <c r="D205" s="2" t="s">
        <v>260</v>
      </c>
      <c r="E205" s="2">
        <v>2</v>
      </c>
      <c r="F205" s="10">
        <v>391.4</v>
      </c>
      <c r="G205" s="2" t="str">
        <f>_xlfn.XLOOKUP($D$1:$D$361,Products!$A$1:$A$41,Products!$C$1:$C$41)</f>
        <v>Clothing</v>
      </c>
      <c r="H205" s="2">
        <f>_xlfn.XLOOKUP(Sales!D:D,Products!A:A,Products!D:D)</f>
        <v>195.7</v>
      </c>
      <c r="I205" s="2" t="str">
        <f>_xlfn.XLOOKUP(Table1[[#This Row],[CustomerID]],Customer_info!A:A,Customer_info!D:D)</f>
        <v>India</v>
      </c>
      <c r="J205" s="13">
        <f>Table1[[#This Row],[Quantity]]*Table1[[#This Row],[UnitPrice]]</f>
        <v>391.4</v>
      </c>
    </row>
    <row r="206" spans="1:10" x14ac:dyDescent="0.25">
      <c r="A206" s="2" t="s">
        <v>348</v>
      </c>
      <c r="B206" s="3">
        <v>45467</v>
      </c>
      <c r="C206" s="2" t="s">
        <v>243</v>
      </c>
      <c r="D206" s="2" t="s">
        <v>23</v>
      </c>
      <c r="E206" s="2">
        <v>3</v>
      </c>
      <c r="F206" s="10">
        <v>309.89999999999998</v>
      </c>
      <c r="G206" s="2" t="str">
        <f>_xlfn.XLOOKUP($D$1:$D$361,Products!$A$1:$A$41,Products!$C$1:$C$41)</f>
        <v>Beauty</v>
      </c>
      <c r="H206" s="2">
        <f>_xlfn.XLOOKUP(Sales!D:D,Products!A:A,Products!D:D)</f>
        <v>103.3</v>
      </c>
      <c r="I206" s="2" t="str">
        <f>_xlfn.XLOOKUP(Table1[[#This Row],[CustomerID]],Customer_info!A:A,Customer_info!D:D)</f>
        <v>India</v>
      </c>
      <c r="J206" s="13">
        <f>Table1[[#This Row],[Quantity]]*Table1[[#This Row],[UnitPrice]]</f>
        <v>309.89999999999998</v>
      </c>
    </row>
    <row r="207" spans="1:10" x14ac:dyDescent="0.25">
      <c r="A207" s="2" t="s">
        <v>349</v>
      </c>
      <c r="B207" s="3">
        <v>45322</v>
      </c>
      <c r="C207" s="2" t="s">
        <v>51</v>
      </c>
      <c r="D207" s="2" t="s">
        <v>98</v>
      </c>
      <c r="E207" s="2">
        <v>5</v>
      </c>
      <c r="F207" s="10">
        <v>659.2</v>
      </c>
      <c r="G207" s="2" t="str">
        <f>_xlfn.XLOOKUP($D$1:$D$361,Products!$A$1:$A$41,Products!$C$1:$C$41)</f>
        <v>Electronics</v>
      </c>
      <c r="H207" s="2">
        <f>_xlfn.XLOOKUP(Sales!D:D,Products!A:A,Products!D:D)</f>
        <v>131.84</v>
      </c>
      <c r="I207" s="2" t="str">
        <f>_xlfn.XLOOKUP(Table1[[#This Row],[CustomerID]],Customer_info!A:A,Customer_info!D:D)</f>
        <v>United States</v>
      </c>
      <c r="J207" s="13">
        <f>Table1[[#This Row],[Quantity]]*Table1[[#This Row],[UnitPrice]]</f>
        <v>659.2</v>
      </c>
    </row>
    <row r="208" spans="1:10" x14ac:dyDescent="0.25">
      <c r="A208" s="2" t="s">
        <v>350</v>
      </c>
      <c r="B208" s="3">
        <v>45302</v>
      </c>
      <c r="C208" s="2" t="s">
        <v>264</v>
      </c>
      <c r="D208" s="2" t="s">
        <v>52</v>
      </c>
      <c r="E208" s="2">
        <v>5</v>
      </c>
      <c r="F208" s="10">
        <v>429.25</v>
      </c>
      <c r="G208" s="2" t="str">
        <f>_xlfn.XLOOKUP($D$1:$D$361,Products!$A$1:$A$41,Products!$C$1:$C$41)</f>
        <v>Beauty</v>
      </c>
      <c r="H208" s="2">
        <f>_xlfn.XLOOKUP(Sales!D:D,Products!A:A,Products!D:D)</f>
        <v>85.85</v>
      </c>
      <c r="I208" s="2" t="str">
        <f>_xlfn.XLOOKUP(Table1[[#This Row],[CustomerID]],Customer_info!A:A,Customer_info!D:D)</f>
        <v>Canada</v>
      </c>
      <c r="J208" s="13">
        <f>Table1[[#This Row],[Quantity]]*Table1[[#This Row],[UnitPrice]]</f>
        <v>429.25</v>
      </c>
    </row>
    <row r="209" spans="1:10" x14ac:dyDescent="0.25">
      <c r="A209" s="2" t="s">
        <v>351</v>
      </c>
      <c r="B209" s="3">
        <v>45428</v>
      </c>
      <c r="C209" s="2" t="s">
        <v>126</v>
      </c>
      <c r="D209" s="2" t="s">
        <v>146</v>
      </c>
      <c r="E209" s="2">
        <v>3</v>
      </c>
      <c r="F209" s="10">
        <v>998.7</v>
      </c>
      <c r="G209" s="2" t="str">
        <f>_xlfn.XLOOKUP($D$1:$D$361,Products!$A$1:$A$41,Products!$C$1:$C$41)</f>
        <v>Electronics</v>
      </c>
      <c r="H209" s="2">
        <f>_xlfn.XLOOKUP(Sales!D:D,Products!A:A,Products!D:D)</f>
        <v>332.9</v>
      </c>
      <c r="I209" s="2" t="str">
        <f>_xlfn.XLOOKUP(Table1[[#This Row],[CustomerID]],Customer_info!A:A,Customer_info!D:D)</f>
        <v>India</v>
      </c>
      <c r="J209" s="13">
        <f>Table1[[#This Row],[Quantity]]*Table1[[#This Row],[UnitPrice]]</f>
        <v>998.69999999999993</v>
      </c>
    </row>
    <row r="210" spans="1:10" x14ac:dyDescent="0.25">
      <c r="A210" s="2" t="s">
        <v>352</v>
      </c>
      <c r="B210" s="3">
        <v>45461</v>
      </c>
      <c r="C210" s="2" t="s">
        <v>54</v>
      </c>
      <c r="D210" s="2" t="s">
        <v>231</v>
      </c>
      <c r="E210" s="2">
        <v>4</v>
      </c>
      <c r="F210" s="10">
        <v>974.52</v>
      </c>
      <c r="G210" s="2" t="str">
        <f>_xlfn.XLOOKUP($D$1:$D$361,Products!$A$1:$A$41,Products!$C$1:$C$41)</f>
        <v>Sports</v>
      </c>
      <c r="H210" s="2">
        <f>_xlfn.XLOOKUP(Sales!D:D,Products!A:A,Products!D:D)</f>
        <v>243.63</v>
      </c>
      <c r="I210" s="2" t="str">
        <f>_xlfn.XLOOKUP(Table1[[#This Row],[CustomerID]],Customer_info!A:A,Customer_info!D:D)</f>
        <v>India</v>
      </c>
      <c r="J210" s="13">
        <f>Table1[[#This Row],[Quantity]]*Table1[[#This Row],[UnitPrice]]</f>
        <v>974.52</v>
      </c>
    </row>
    <row r="211" spans="1:10" x14ac:dyDescent="0.25">
      <c r="A211" s="2" t="s">
        <v>353</v>
      </c>
      <c r="B211" s="3">
        <v>45309</v>
      </c>
      <c r="C211" s="2" t="s">
        <v>198</v>
      </c>
      <c r="D211" s="2" t="s">
        <v>114</v>
      </c>
      <c r="E211" s="2">
        <v>3</v>
      </c>
      <c r="F211" s="10">
        <v>681.39</v>
      </c>
      <c r="G211" s="2" t="str">
        <f>_xlfn.XLOOKUP($D$1:$D$361,Products!$A$1:$A$41,Products!$C$1:$C$41)</f>
        <v>Electronics</v>
      </c>
      <c r="H211" s="2">
        <f>_xlfn.XLOOKUP(Sales!D:D,Products!A:A,Products!D:D)</f>
        <v>227.13</v>
      </c>
      <c r="I211" s="2" t="str">
        <f>_xlfn.XLOOKUP(Table1[[#This Row],[CustomerID]],Customer_info!A:A,Customer_info!D:D)</f>
        <v>United Kingdom</v>
      </c>
      <c r="J211" s="13">
        <f>Table1[[#This Row],[Quantity]]*Table1[[#This Row],[UnitPrice]]</f>
        <v>681.39</v>
      </c>
    </row>
    <row r="212" spans="1:10" x14ac:dyDescent="0.25">
      <c r="A212" s="2" t="s">
        <v>354</v>
      </c>
      <c r="B212" s="3">
        <v>45457</v>
      </c>
      <c r="C212" s="2" t="s">
        <v>295</v>
      </c>
      <c r="D212" s="2" t="s">
        <v>72</v>
      </c>
      <c r="E212" s="2">
        <v>5</v>
      </c>
      <c r="F212" s="10">
        <v>1083.5999999999999</v>
      </c>
      <c r="G212" s="2" t="str">
        <f>_xlfn.XLOOKUP($D$1:$D$361,Products!$A$1:$A$41,Products!$C$1:$C$41)</f>
        <v>Clothing</v>
      </c>
      <c r="H212" s="2">
        <f>_xlfn.XLOOKUP(Sales!D:D,Products!A:A,Products!D:D)</f>
        <v>216.72</v>
      </c>
      <c r="I212" s="2" t="str">
        <f>_xlfn.XLOOKUP(Table1[[#This Row],[CustomerID]],Customer_info!A:A,Customer_info!D:D)</f>
        <v>United States</v>
      </c>
      <c r="J212" s="13">
        <f>Table1[[#This Row],[Quantity]]*Table1[[#This Row],[UnitPrice]]</f>
        <v>1083.5999999999999</v>
      </c>
    </row>
    <row r="213" spans="1:10" x14ac:dyDescent="0.25">
      <c r="A213" s="2" t="s">
        <v>355</v>
      </c>
      <c r="B213" s="3">
        <v>45295</v>
      </c>
      <c r="C213" s="2" t="s">
        <v>202</v>
      </c>
      <c r="D213" s="2" t="s">
        <v>81</v>
      </c>
      <c r="E213" s="2">
        <v>3</v>
      </c>
      <c r="F213" s="10">
        <v>1299.8399999999999</v>
      </c>
      <c r="G213" s="2" t="str">
        <f>_xlfn.XLOOKUP($D$1:$D$361,Products!$A$1:$A$41,Products!$C$1:$C$41)</f>
        <v>Beauty</v>
      </c>
      <c r="H213" s="2">
        <f>_xlfn.XLOOKUP(Sales!D:D,Products!A:A,Products!D:D)</f>
        <v>433.28</v>
      </c>
      <c r="I213" s="2" t="str">
        <f>_xlfn.XLOOKUP(Table1[[#This Row],[CustomerID]],Customer_info!A:A,Customer_info!D:D)</f>
        <v>India</v>
      </c>
      <c r="J213" s="13">
        <f>Table1[[#This Row],[Quantity]]*Table1[[#This Row],[UnitPrice]]</f>
        <v>1299.8399999999999</v>
      </c>
    </row>
    <row r="214" spans="1:10" x14ac:dyDescent="0.25">
      <c r="A214" s="2" t="s">
        <v>356</v>
      </c>
      <c r="B214" s="3">
        <v>45417</v>
      </c>
      <c r="C214" s="2" t="s">
        <v>113</v>
      </c>
      <c r="D214" s="2" t="s">
        <v>148</v>
      </c>
      <c r="E214" s="2">
        <v>4</v>
      </c>
      <c r="F214" s="10">
        <v>1359.8</v>
      </c>
      <c r="G214" s="2" t="str">
        <f>_xlfn.XLOOKUP($D$1:$D$361,Products!$A$1:$A$41,Products!$C$1:$C$41)</f>
        <v>Electronics</v>
      </c>
      <c r="H214" s="2">
        <f>_xlfn.XLOOKUP(Sales!D:D,Products!A:A,Products!D:D)</f>
        <v>339.95</v>
      </c>
      <c r="I214" s="2" t="str">
        <f>_xlfn.XLOOKUP(Table1[[#This Row],[CustomerID]],Customer_info!A:A,Customer_info!D:D)</f>
        <v>India</v>
      </c>
      <c r="J214" s="13">
        <f>Table1[[#This Row],[Quantity]]*Table1[[#This Row],[UnitPrice]]</f>
        <v>1359.8</v>
      </c>
    </row>
    <row r="215" spans="1:10" x14ac:dyDescent="0.25">
      <c r="A215" s="2" t="s">
        <v>357</v>
      </c>
      <c r="B215" s="3">
        <v>45402</v>
      </c>
      <c r="C215" s="2" t="s">
        <v>358</v>
      </c>
      <c r="D215" s="2" t="s">
        <v>81</v>
      </c>
      <c r="E215" s="2">
        <v>1</v>
      </c>
      <c r="F215" s="10">
        <v>433.28</v>
      </c>
      <c r="G215" s="2" t="str">
        <f>_xlfn.XLOOKUP($D$1:$D$361,Products!$A$1:$A$41,Products!$C$1:$C$41)</f>
        <v>Beauty</v>
      </c>
      <c r="H215" s="2">
        <f>_xlfn.XLOOKUP(Sales!D:D,Products!A:A,Products!D:D)</f>
        <v>433.28</v>
      </c>
      <c r="I215" s="2" t="str">
        <f>_xlfn.XLOOKUP(Table1[[#This Row],[CustomerID]],Customer_info!A:A,Customer_info!D:D)</f>
        <v>United Kingdom</v>
      </c>
      <c r="J215" s="13">
        <f>Table1[[#This Row],[Quantity]]*Table1[[#This Row],[UnitPrice]]</f>
        <v>433.28</v>
      </c>
    </row>
    <row r="216" spans="1:10" x14ac:dyDescent="0.25">
      <c r="A216" s="2" t="s">
        <v>359</v>
      </c>
      <c r="B216" s="3">
        <v>45454</v>
      </c>
      <c r="C216" s="2" t="s">
        <v>128</v>
      </c>
      <c r="D216" s="2" t="s">
        <v>146</v>
      </c>
      <c r="E216" s="2">
        <v>3</v>
      </c>
      <c r="F216" s="10">
        <v>998.7</v>
      </c>
      <c r="G216" s="2" t="str">
        <f>_xlfn.XLOOKUP($D$1:$D$361,Products!$A$1:$A$41,Products!$C$1:$C$41)</f>
        <v>Electronics</v>
      </c>
      <c r="H216" s="2">
        <f>_xlfn.XLOOKUP(Sales!D:D,Products!A:A,Products!D:D)</f>
        <v>332.9</v>
      </c>
      <c r="I216" s="2" t="str">
        <f>_xlfn.XLOOKUP(Table1[[#This Row],[CustomerID]],Customer_info!A:A,Customer_info!D:D)</f>
        <v>Canada</v>
      </c>
      <c r="J216" s="13">
        <f>Table1[[#This Row],[Quantity]]*Table1[[#This Row],[UnitPrice]]</f>
        <v>998.69999999999993</v>
      </c>
    </row>
    <row r="217" spans="1:10" x14ac:dyDescent="0.25">
      <c r="A217" s="2" t="s">
        <v>360</v>
      </c>
      <c r="B217" s="3">
        <v>45331</v>
      </c>
      <c r="C217" s="2" t="s">
        <v>113</v>
      </c>
      <c r="D217" s="2" t="s">
        <v>132</v>
      </c>
      <c r="E217" s="2">
        <v>4</v>
      </c>
      <c r="F217" s="10">
        <v>1351.2</v>
      </c>
      <c r="G217" s="2" t="str">
        <f>_xlfn.XLOOKUP($D$1:$D$361,Products!$A$1:$A$41,Products!$C$1:$C$41)</f>
        <v>Home</v>
      </c>
      <c r="H217" s="2">
        <f>_xlfn.XLOOKUP(Sales!D:D,Products!A:A,Products!D:D)</f>
        <v>337.8</v>
      </c>
      <c r="I217" s="2" t="str">
        <f>_xlfn.XLOOKUP(Table1[[#This Row],[CustomerID]],Customer_info!A:A,Customer_info!D:D)</f>
        <v>India</v>
      </c>
      <c r="J217" s="13">
        <f>Table1[[#This Row],[Quantity]]*Table1[[#This Row],[UnitPrice]]</f>
        <v>1351.2</v>
      </c>
    </row>
    <row r="218" spans="1:10" x14ac:dyDescent="0.25">
      <c r="A218" s="2" t="s">
        <v>361</v>
      </c>
      <c r="B218" s="3">
        <v>45337</v>
      </c>
      <c r="C218" s="2" t="s">
        <v>185</v>
      </c>
      <c r="D218" s="2" t="s">
        <v>38</v>
      </c>
      <c r="E218" s="2">
        <v>4</v>
      </c>
      <c r="F218" s="10">
        <v>1337.28</v>
      </c>
      <c r="G218" s="2" t="str">
        <f>_xlfn.XLOOKUP($D$1:$D$361,Products!$A$1:$A$41,Products!$C$1:$C$41)</f>
        <v>Sports</v>
      </c>
      <c r="H218" s="2">
        <f>_xlfn.XLOOKUP(Sales!D:D,Products!A:A,Products!D:D)</f>
        <v>334.32</v>
      </c>
      <c r="I218" s="2" t="str">
        <f>_xlfn.XLOOKUP(Table1[[#This Row],[CustomerID]],Customer_info!A:A,Customer_info!D:D)</f>
        <v>India</v>
      </c>
      <c r="J218" s="13">
        <f>Table1[[#This Row],[Quantity]]*Table1[[#This Row],[UnitPrice]]</f>
        <v>1337.28</v>
      </c>
    </row>
    <row r="219" spans="1:10" x14ac:dyDescent="0.25">
      <c r="A219" s="2" t="s">
        <v>362</v>
      </c>
      <c r="B219" s="3">
        <v>45458</v>
      </c>
      <c r="C219" s="2" t="s">
        <v>363</v>
      </c>
      <c r="D219" s="2" t="s">
        <v>114</v>
      </c>
      <c r="E219" s="2">
        <v>5</v>
      </c>
      <c r="F219" s="10">
        <v>1135.6500000000001</v>
      </c>
      <c r="G219" s="2" t="str">
        <f>_xlfn.XLOOKUP($D$1:$D$361,Products!$A$1:$A$41,Products!$C$1:$C$41)</f>
        <v>Electronics</v>
      </c>
      <c r="H219" s="2">
        <f>_xlfn.XLOOKUP(Sales!D:D,Products!A:A,Products!D:D)</f>
        <v>227.13</v>
      </c>
      <c r="I219" s="2" t="str">
        <f>_xlfn.XLOOKUP(Table1[[#This Row],[CustomerID]],Customer_info!A:A,Customer_info!D:D)</f>
        <v>India</v>
      </c>
      <c r="J219" s="13">
        <f>Table1[[#This Row],[Quantity]]*Table1[[#This Row],[UnitPrice]]</f>
        <v>1135.6500000000001</v>
      </c>
    </row>
    <row r="220" spans="1:10" x14ac:dyDescent="0.25">
      <c r="A220" s="2" t="s">
        <v>364</v>
      </c>
      <c r="B220" s="3">
        <v>45449</v>
      </c>
      <c r="C220" s="2" t="s">
        <v>172</v>
      </c>
      <c r="D220" s="2" t="s">
        <v>108</v>
      </c>
      <c r="E220" s="2">
        <v>3</v>
      </c>
      <c r="F220" s="10">
        <v>147.75</v>
      </c>
      <c r="G220" s="2" t="str">
        <f>_xlfn.XLOOKUP($D$1:$D$361,Products!$A$1:$A$41,Products!$C$1:$C$41)</f>
        <v>Sports</v>
      </c>
      <c r="H220" s="2">
        <f>_xlfn.XLOOKUP(Sales!D:D,Products!A:A,Products!D:D)</f>
        <v>49.25</v>
      </c>
      <c r="I220" s="2" t="str">
        <f>_xlfn.XLOOKUP(Table1[[#This Row],[CustomerID]],Customer_info!A:A,Customer_info!D:D)</f>
        <v>Canada</v>
      </c>
      <c r="J220" s="13">
        <f>Table1[[#This Row],[Quantity]]*Table1[[#This Row],[UnitPrice]]</f>
        <v>147.75</v>
      </c>
    </row>
    <row r="221" spans="1:10" x14ac:dyDescent="0.25">
      <c r="A221" s="2" t="s">
        <v>365</v>
      </c>
      <c r="B221" s="3">
        <v>45415</v>
      </c>
      <c r="C221" s="2" t="s">
        <v>264</v>
      </c>
      <c r="D221" s="2" t="s">
        <v>114</v>
      </c>
      <c r="E221" s="2">
        <v>5</v>
      </c>
      <c r="F221" s="10">
        <v>1135.6500000000001</v>
      </c>
      <c r="G221" s="2" t="str">
        <f>_xlfn.XLOOKUP($D$1:$D$361,Products!$A$1:$A$41,Products!$C$1:$C$41)</f>
        <v>Electronics</v>
      </c>
      <c r="H221" s="2">
        <f>_xlfn.XLOOKUP(Sales!D:D,Products!A:A,Products!D:D)</f>
        <v>227.13</v>
      </c>
      <c r="I221" s="2" t="str">
        <f>_xlfn.XLOOKUP(Table1[[#This Row],[CustomerID]],Customer_info!A:A,Customer_info!D:D)</f>
        <v>Canada</v>
      </c>
      <c r="J221" s="13">
        <f>Table1[[#This Row],[Quantity]]*Table1[[#This Row],[UnitPrice]]</f>
        <v>1135.6500000000001</v>
      </c>
    </row>
    <row r="222" spans="1:10" x14ac:dyDescent="0.25">
      <c r="A222" s="2" t="s">
        <v>366</v>
      </c>
      <c r="B222" s="3">
        <v>45403</v>
      </c>
      <c r="C222" s="2" t="s">
        <v>367</v>
      </c>
      <c r="D222" s="2" t="s">
        <v>114</v>
      </c>
      <c r="E222" s="2">
        <v>4</v>
      </c>
      <c r="F222" s="10">
        <v>908.52</v>
      </c>
      <c r="G222" s="2" t="str">
        <f>_xlfn.XLOOKUP($D$1:$D$361,Products!$A$1:$A$41,Products!$C$1:$C$41)</f>
        <v>Electronics</v>
      </c>
      <c r="H222" s="2">
        <f>_xlfn.XLOOKUP(Sales!D:D,Products!A:A,Products!D:D)</f>
        <v>227.13</v>
      </c>
      <c r="I222" s="2" t="str">
        <f>_xlfn.XLOOKUP(Table1[[#This Row],[CustomerID]],Customer_info!A:A,Customer_info!D:D)</f>
        <v>India</v>
      </c>
      <c r="J222" s="13">
        <f>Table1[[#This Row],[Quantity]]*Table1[[#This Row],[UnitPrice]]</f>
        <v>908.52</v>
      </c>
    </row>
    <row r="223" spans="1:10" x14ac:dyDescent="0.25">
      <c r="A223" s="2" t="s">
        <v>368</v>
      </c>
      <c r="B223" s="3">
        <v>45360</v>
      </c>
      <c r="C223" s="2" t="s">
        <v>310</v>
      </c>
      <c r="D223" s="2" t="s">
        <v>63</v>
      </c>
      <c r="E223" s="2">
        <v>5</v>
      </c>
      <c r="F223" s="10">
        <v>289.89999999999998</v>
      </c>
      <c r="G223" s="2" t="str">
        <f>_xlfn.XLOOKUP($D$1:$D$361,Products!$A$1:$A$41,Products!$C$1:$C$41)</f>
        <v>Sports</v>
      </c>
      <c r="H223" s="2">
        <f>_xlfn.XLOOKUP(Sales!D:D,Products!A:A,Products!D:D)</f>
        <v>57.98</v>
      </c>
      <c r="I223" s="2" t="str">
        <f>_xlfn.XLOOKUP(Table1[[#This Row],[CustomerID]],Customer_info!A:A,Customer_info!D:D)</f>
        <v>United States</v>
      </c>
      <c r="J223" s="13">
        <f>Table1[[#This Row],[Quantity]]*Table1[[#This Row],[UnitPrice]]</f>
        <v>289.89999999999998</v>
      </c>
    </row>
    <row r="224" spans="1:10" x14ac:dyDescent="0.25">
      <c r="A224" s="2" t="s">
        <v>369</v>
      </c>
      <c r="B224" s="3">
        <v>45354</v>
      </c>
      <c r="C224" s="2" t="s">
        <v>307</v>
      </c>
      <c r="D224" s="2" t="s">
        <v>114</v>
      </c>
      <c r="E224" s="2">
        <v>3</v>
      </c>
      <c r="F224" s="10">
        <v>681.39</v>
      </c>
      <c r="G224" s="2" t="str">
        <f>_xlfn.XLOOKUP($D$1:$D$361,Products!$A$1:$A$41,Products!$C$1:$C$41)</f>
        <v>Electronics</v>
      </c>
      <c r="H224" s="2">
        <f>_xlfn.XLOOKUP(Sales!D:D,Products!A:A,Products!D:D)</f>
        <v>227.13</v>
      </c>
      <c r="I224" s="2" t="str">
        <f>_xlfn.XLOOKUP(Table1[[#This Row],[CustomerID]],Customer_info!A:A,Customer_info!D:D)</f>
        <v>Canada</v>
      </c>
      <c r="J224" s="13">
        <f>Table1[[#This Row],[Quantity]]*Table1[[#This Row],[UnitPrice]]</f>
        <v>681.39</v>
      </c>
    </row>
    <row r="225" spans="1:10" x14ac:dyDescent="0.25">
      <c r="A225" s="2" t="s">
        <v>370</v>
      </c>
      <c r="B225" s="3">
        <v>45363</v>
      </c>
      <c r="C225" s="2" t="s">
        <v>111</v>
      </c>
      <c r="D225" s="2" t="s">
        <v>103</v>
      </c>
      <c r="E225" s="2">
        <v>1</v>
      </c>
      <c r="F225" s="10">
        <v>139.94999999999999</v>
      </c>
      <c r="G225" s="2" t="str">
        <f>_xlfn.XLOOKUP($D$1:$D$361,Products!$A$1:$A$41,Products!$C$1:$C$41)</f>
        <v>Beauty</v>
      </c>
      <c r="H225" s="2">
        <f>_xlfn.XLOOKUP(Sales!D:D,Products!A:A,Products!D:D)</f>
        <v>139.94999999999999</v>
      </c>
      <c r="I225" s="2" t="str">
        <f>_xlfn.XLOOKUP(Table1[[#This Row],[CustomerID]],Customer_info!A:A,Customer_info!D:D)</f>
        <v>United Kingdom</v>
      </c>
      <c r="J225" s="13">
        <f>Table1[[#This Row],[Quantity]]*Table1[[#This Row],[UnitPrice]]</f>
        <v>139.94999999999999</v>
      </c>
    </row>
    <row r="226" spans="1:10" x14ac:dyDescent="0.25">
      <c r="A226" s="2" t="s">
        <v>371</v>
      </c>
      <c r="B226" s="3">
        <v>45354</v>
      </c>
      <c r="C226" s="2" t="s">
        <v>135</v>
      </c>
      <c r="D226" s="2" t="s">
        <v>49</v>
      </c>
      <c r="E226" s="2">
        <v>4</v>
      </c>
      <c r="F226" s="10">
        <v>1175.2</v>
      </c>
      <c r="G226" s="2" t="str">
        <f>_xlfn.XLOOKUP($D$1:$D$361,Products!$A$1:$A$41,Products!$C$1:$C$41)</f>
        <v>Electronics</v>
      </c>
      <c r="H226" s="2">
        <f>_xlfn.XLOOKUP(Sales!D:D,Products!A:A,Products!D:D)</f>
        <v>293.8</v>
      </c>
      <c r="I226" s="2" t="str">
        <f>_xlfn.XLOOKUP(Table1[[#This Row],[CustomerID]],Customer_info!A:A,Customer_info!D:D)</f>
        <v>India</v>
      </c>
      <c r="J226" s="13">
        <f>Table1[[#This Row],[Quantity]]*Table1[[#This Row],[UnitPrice]]</f>
        <v>1175.2</v>
      </c>
    </row>
    <row r="227" spans="1:10" x14ac:dyDescent="0.25">
      <c r="A227" s="2" t="s">
        <v>372</v>
      </c>
      <c r="B227" s="3">
        <v>45437</v>
      </c>
      <c r="C227" s="2" t="s">
        <v>32</v>
      </c>
      <c r="D227" s="2" t="s">
        <v>20</v>
      </c>
      <c r="E227" s="2">
        <v>4</v>
      </c>
      <c r="F227" s="10">
        <v>831.4</v>
      </c>
      <c r="G227" s="2" t="str">
        <f>_xlfn.XLOOKUP($D$1:$D$361,Products!$A$1:$A$41,Products!$C$1:$C$41)</f>
        <v>Clothing</v>
      </c>
      <c r="H227" s="2">
        <f>_xlfn.XLOOKUP(Sales!D:D,Products!A:A,Products!D:D)</f>
        <v>207.85</v>
      </c>
      <c r="I227" s="2" t="str">
        <f>_xlfn.XLOOKUP(Table1[[#This Row],[CustomerID]],Customer_info!A:A,Customer_info!D:D)</f>
        <v>United Kingdom</v>
      </c>
      <c r="J227" s="13">
        <f>Table1[[#This Row],[Quantity]]*Table1[[#This Row],[UnitPrice]]</f>
        <v>831.4</v>
      </c>
    </row>
    <row r="228" spans="1:10" x14ac:dyDescent="0.25">
      <c r="A228" s="2" t="s">
        <v>373</v>
      </c>
      <c r="B228" s="3">
        <v>45463</v>
      </c>
      <c r="C228" s="2" t="s">
        <v>139</v>
      </c>
      <c r="D228" s="2" t="s">
        <v>72</v>
      </c>
      <c r="E228" s="2">
        <v>5</v>
      </c>
      <c r="F228" s="10">
        <v>1083.5999999999999</v>
      </c>
      <c r="G228" s="2" t="str">
        <f>_xlfn.XLOOKUP($D$1:$D$361,Products!$A$1:$A$41,Products!$C$1:$C$41)</f>
        <v>Clothing</v>
      </c>
      <c r="H228" s="2">
        <f>_xlfn.XLOOKUP(Sales!D:D,Products!A:A,Products!D:D)</f>
        <v>216.72</v>
      </c>
      <c r="I228" s="2" t="str">
        <f>_xlfn.XLOOKUP(Table1[[#This Row],[CustomerID]],Customer_info!A:A,Customer_info!D:D)</f>
        <v>United States</v>
      </c>
      <c r="J228" s="13">
        <f>Table1[[#This Row],[Quantity]]*Table1[[#This Row],[UnitPrice]]</f>
        <v>1083.5999999999999</v>
      </c>
    </row>
    <row r="229" spans="1:10" x14ac:dyDescent="0.25">
      <c r="A229" s="2" t="s">
        <v>374</v>
      </c>
      <c r="B229" s="3">
        <v>45378</v>
      </c>
      <c r="C229" s="2" t="s">
        <v>128</v>
      </c>
      <c r="D229" s="2" t="s">
        <v>132</v>
      </c>
      <c r="E229" s="2">
        <v>4</v>
      </c>
      <c r="F229" s="10">
        <v>1351.2</v>
      </c>
      <c r="G229" s="2" t="str">
        <f>_xlfn.XLOOKUP($D$1:$D$361,Products!$A$1:$A$41,Products!$C$1:$C$41)</f>
        <v>Home</v>
      </c>
      <c r="H229" s="2">
        <f>_xlfn.XLOOKUP(Sales!D:D,Products!A:A,Products!D:D)</f>
        <v>337.8</v>
      </c>
      <c r="I229" s="2" t="str">
        <f>_xlfn.XLOOKUP(Table1[[#This Row],[CustomerID]],Customer_info!A:A,Customer_info!D:D)</f>
        <v>Canada</v>
      </c>
      <c r="J229" s="13">
        <f>Table1[[#This Row],[Quantity]]*Table1[[#This Row],[UnitPrice]]</f>
        <v>1351.2</v>
      </c>
    </row>
    <row r="230" spans="1:10" x14ac:dyDescent="0.25">
      <c r="A230" s="2" t="s">
        <v>375</v>
      </c>
      <c r="B230" s="3">
        <v>45418</v>
      </c>
      <c r="C230" s="2" t="s">
        <v>312</v>
      </c>
      <c r="D230" s="2" t="s">
        <v>52</v>
      </c>
      <c r="E230" s="2">
        <v>1</v>
      </c>
      <c r="F230" s="10">
        <v>85.85</v>
      </c>
      <c r="G230" s="2" t="str">
        <f>_xlfn.XLOOKUP($D$1:$D$361,Products!$A$1:$A$41,Products!$C$1:$C$41)</f>
        <v>Beauty</v>
      </c>
      <c r="H230" s="2">
        <f>_xlfn.XLOOKUP(Sales!D:D,Products!A:A,Products!D:D)</f>
        <v>85.85</v>
      </c>
      <c r="I230" s="2" t="str">
        <f>_xlfn.XLOOKUP(Table1[[#This Row],[CustomerID]],Customer_info!A:A,Customer_info!D:D)</f>
        <v>United Kingdom</v>
      </c>
      <c r="J230" s="13">
        <f>Table1[[#This Row],[Quantity]]*Table1[[#This Row],[UnitPrice]]</f>
        <v>85.85</v>
      </c>
    </row>
    <row r="231" spans="1:10" x14ac:dyDescent="0.25">
      <c r="A231" s="2" t="s">
        <v>376</v>
      </c>
      <c r="B231" s="3">
        <v>45338</v>
      </c>
      <c r="C231" s="2" t="s">
        <v>377</v>
      </c>
      <c r="D231" s="2" t="s">
        <v>122</v>
      </c>
      <c r="E231" s="2">
        <v>3</v>
      </c>
      <c r="F231" s="10">
        <v>261.42</v>
      </c>
      <c r="G231" s="2" t="str">
        <f>_xlfn.XLOOKUP($D$1:$D$361,Products!$A$1:$A$41,Products!$C$1:$C$41)</f>
        <v>Sports</v>
      </c>
      <c r="H231" s="2">
        <f>_xlfn.XLOOKUP(Sales!D:D,Products!A:A,Products!D:D)</f>
        <v>87.14</v>
      </c>
      <c r="I231" s="2" t="str">
        <f>_xlfn.XLOOKUP(Table1[[#This Row],[CustomerID]],Customer_info!A:A,Customer_info!D:D)</f>
        <v>United States</v>
      </c>
      <c r="J231" s="13">
        <f>Table1[[#This Row],[Quantity]]*Table1[[#This Row],[UnitPrice]]</f>
        <v>261.42</v>
      </c>
    </row>
    <row r="232" spans="1:10" x14ac:dyDescent="0.25">
      <c r="A232" s="2" t="s">
        <v>378</v>
      </c>
      <c r="B232" s="3">
        <v>45346</v>
      </c>
      <c r="C232" s="2" t="s">
        <v>241</v>
      </c>
      <c r="D232" s="2" t="s">
        <v>98</v>
      </c>
      <c r="E232" s="2">
        <v>4</v>
      </c>
      <c r="F232" s="10">
        <v>527.36</v>
      </c>
      <c r="G232" s="2" t="str">
        <f>_xlfn.XLOOKUP($D$1:$D$361,Products!$A$1:$A$41,Products!$C$1:$C$41)</f>
        <v>Electronics</v>
      </c>
      <c r="H232" s="2">
        <f>_xlfn.XLOOKUP(Sales!D:D,Products!A:A,Products!D:D)</f>
        <v>131.84</v>
      </c>
      <c r="I232" s="2" t="str">
        <f>_xlfn.XLOOKUP(Table1[[#This Row],[CustomerID]],Customer_info!A:A,Customer_info!D:D)</f>
        <v>United States</v>
      </c>
      <c r="J232" s="13">
        <f>Table1[[#This Row],[Quantity]]*Table1[[#This Row],[UnitPrice]]</f>
        <v>527.36</v>
      </c>
    </row>
    <row r="233" spans="1:10" x14ac:dyDescent="0.25">
      <c r="A233" s="2" t="s">
        <v>379</v>
      </c>
      <c r="B233" s="3">
        <v>45358</v>
      </c>
      <c r="C233" s="2" t="s">
        <v>377</v>
      </c>
      <c r="D233" s="2" t="s">
        <v>124</v>
      </c>
      <c r="E233" s="2">
        <v>3</v>
      </c>
      <c r="F233" s="10">
        <v>119.1</v>
      </c>
      <c r="G233" s="2" t="str">
        <f>_xlfn.XLOOKUP($D$1:$D$361,Products!$A$1:$A$41,Products!$C$1:$C$41)</f>
        <v>Electronics</v>
      </c>
      <c r="H233" s="2">
        <f>_xlfn.XLOOKUP(Sales!D:D,Products!A:A,Products!D:D)</f>
        <v>39.700000000000003</v>
      </c>
      <c r="I233" s="2" t="str">
        <f>_xlfn.XLOOKUP(Table1[[#This Row],[CustomerID]],Customer_info!A:A,Customer_info!D:D)</f>
        <v>United States</v>
      </c>
      <c r="J233" s="13">
        <f>Table1[[#This Row],[Quantity]]*Table1[[#This Row],[UnitPrice]]</f>
        <v>119.10000000000001</v>
      </c>
    </row>
    <row r="234" spans="1:10" x14ac:dyDescent="0.25">
      <c r="A234" s="2" t="s">
        <v>380</v>
      </c>
      <c r="B234" s="3">
        <v>45363</v>
      </c>
      <c r="C234" s="2" t="s">
        <v>141</v>
      </c>
      <c r="D234" s="2" t="s">
        <v>160</v>
      </c>
      <c r="E234" s="2">
        <v>3</v>
      </c>
      <c r="F234" s="10">
        <v>130.74</v>
      </c>
      <c r="G234" s="2" t="str">
        <f>_xlfn.XLOOKUP($D$1:$D$361,Products!$A$1:$A$41,Products!$C$1:$C$41)</f>
        <v>Clothing</v>
      </c>
      <c r="H234" s="2">
        <f>_xlfn.XLOOKUP(Sales!D:D,Products!A:A,Products!D:D)</f>
        <v>43.58</v>
      </c>
      <c r="I234" s="2" t="str">
        <f>_xlfn.XLOOKUP(Table1[[#This Row],[CustomerID]],Customer_info!A:A,Customer_info!D:D)</f>
        <v>India</v>
      </c>
      <c r="J234" s="13">
        <f>Table1[[#This Row],[Quantity]]*Table1[[#This Row],[UnitPrice]]</f>
        <v>130.74</v>
      </c>
    </row>
    <row r="235" spans="1:10" x14ac:dyDescent="0.25">
      <c r="A235" s="2" t="s">
        <v>381</v>
      </c>
      <c r="B235" s="3">
        <v>45471</v>
      </c>
      <c r="C235" s="2" t="s">
        <v>87</v>
      </c>
      <c r="D235" s="2" t="s">
        <v>44</v>
      </c>
      <c r="E235" s="2">
        <v>5</v>
      </c>
      <c r="F235" s="10">
        <v>1363.9</v>
      </c>
      <c r="G235" s="2" t="str">
        <f>_xlfn.XLOOKUP($D$1:$D$361,Products!$A$1:$A$41,Products!$C$1:$C$41)</f>
        <v>Clothing</v>
      </c>
      <c r="H235" s="2">
        <f>_xlfn.XLOOKUP(Sales!D:D,Products!A:A,Products!D:D)</f>
        <v>272.77999999999997</v>
      </c>
      <c r="I235" s="2" t="str">
        <f>_xlfn.XLOOKUP(Table1[[#This Row],[CustomerID]],Customer_info!A:A,Customer_info!D:D)</f>
        <v>United Kingdom</v>
      </c>
      <c r="J235" s="13">
        <f>Table1[[#This Row],[Quantity]]*Table1[[#This Row],[UnitPrice]]</f>
        <v>1363.8999999999999</v>
      </c>
    </row>
    <row r="236" spans="1:10" x14ac:dyDescent="0.25">
      <c r="A236" s="2" t="s">
        <v>382</v>
      </c>
      <c r="B236" s="3">
        <v>45434</v>
      </c>
      <c r="C236" s="2" t="s">
        <v>302</v>
      </c>
      <c r="D236" s="2" t="s">
        <v>44</v>
      </c>
      <c r="E236" s="2">
        <v>3</v>
      </c>
      <c r="F236" s="10">
        <v>818.34</v>
      </c>
      <c r="G236" s="2" t="str">
        <f>_xlfn.XLOOKUP($D$1:$D$361,Products!$A$1:$A$41,Products!$C$1:$C$41)</f>
        <v>Clothing</v>
      </c>
      <c r="H236" s="2">
        <f>_xlfn.XLOOKUP(Sales!D:D,Products!A:A,Products!D:D)</f>
        <v>272.77999999999997</v>
      </c>
      <c r="I236" s="2" t="str">
        <f>_xlfn.XLOOKUP(Table1[[#This Row],[CustomerID]],Customer_info!A:A,Customer_info!D:D)</f>
        <v>United States</v>
      </c>
      <c r="J236" s="13">
        <f>Table1[[#This Row],[Quantity]]*Table1[[#This Row],[UnitPrice]]</f>
        <v>818.33999999999992</v>
      </c>
    </row>
    <row r="237" spans="1:10" x14ac:dyDescent="0.25">
      <c r="A237" s="2" t="s">
        <v>383</v>
      </c>
      <c r="B237" s="3">
        <v>45424</v>
      </c>
      <c r="C237" s="2" t="s">
        <v>384</v>
      </c>
      <c r="D237" s="2" t="s">
        <v>17</v>
      </c>
      <c r="E237" s="2">
        <v>1</v>
      </c>
      <c r="F237" s="10">
        <v>394.46</v>
      </c>
      <c r="G237" s="2" t="str">
        <f>_xlfn.XLOOKUP($D$1:$D$361,Products!$A$1:$A$41,Products!$C$1:$C$41)</f>
        <v>Clothing</v>
      </c>
      <c r="H237" s="2">
        <f>_xlfn.XLOOKUP(Sales!D:D,Products!A:A,Products!D:D)</f>
        <v>394.46</v>
      </c>
      <c r="I237" s="2" t="str">
        <f>_xlfn.XLOOKUP(Table1[[#This Row],[CustomerID]],Customer_info!A:A,Customer_info!D:D)</f>
        <v>India</v>
      </c>
      <c r="J237" s="13">
        <f>Table1[[#This Row],[Quantity]]*Table1[[#This Row],[UnitPrice]]</f>
        <v>394.46</v>
      </c>
    </row>
    <row r="238" spans="1:10" x14ac:dyDescent="0.25">
      <c r="A238" s="2" t="s">
        <v>385</v>
      </c>
      <c r="B238" s="3">
        <v>45313</v>
      </c>
      <c r="C238" s="2" t="s">
        <v>258</v>
      </c>
      <c r="D238" s="2" t="s">
        <v>20</v>
      </c>
      <c r="E238" s="2">
        <v>2</v>
      </c>
      <c r="F238" s="10">
        <v>415.7</v>
      </c>
      <c r="G238" s="2" t="str">
        <f>_xlfn.XLOOKUP($D$1:$D$361,Products!$A$1:$A$41,Products!$C$1:$C$41)</f>
        <v>Clothing</v>
      </c>
      <c r="H238" s="2">
        <f>_xlfn.XLOOKUP(Sales!D:D,Products!A:A,Products!D:D)</f>
        <v>207.85</v>
      </c>
      <c r="I238" s="2" t="str">
        <f>_xlfn.XLOOKUP(Table1[[#This Row],[CustomerID]],Customer_info!A:A,Customer_info!D:D)</f>
        <v>Canada</v>
      </c>
      <c r="J238" s="13">
        <f>Table1[[#This Row],[Quantity]]*Table1[[#This Row],[UnitPrice]]</f>
        <v>415.7</v>
      </c>
    </row>
    <row r="239" spans="1:10" x14ac:dyDescent="0.25">
      <c r="A239" s="2" t="s">
        <v>386</v>
      </c>
      <c r="B239" s="3">
        <v>45396</v>
      </c>
      <c r="C239" s="2" t="s">
        <v>13</v>
      </c>
      <c r="D239" s="2" t="s">
        <v>49</v>
      </c>
      <c r="E239" s="2">
        <v>2</v>
      </c>
      <c r="F239" s="10">
        <v>587.6</v>
      </c>
      <c r="G239" s="2" t="str">
        <f>_xlfn.XLOOKUP($D$1:$D$361,Products!$A$1:$A$41,Products!$C$1:$C$41)</f>
        <v>Electronics</v>
      </c>
      <c r="H239" s="2">
        <f>_xlfn.XLOOKUP(Sales!D:D,Products!A:A,Products!D:D)</f>
        <v>293.8</v>
      </c>
      <c r="I239" s="2" t="str">
        <f>_xlfn.XLOOKUP(Table1[[#This Row],[CustomerID]],Customer_info!A:A,Customer_info!D:D)</f>
        <v>Canada</v>
      </c>
      <c r="J239" s="13">
        <f>Table1[[#This Row],[Quantity]]*Table1[[#This Row],[UnitPrice]]</f>
        <v>587.6</v>
      </c>
    </row>
    <row r="240" spans="1:10" x14ac:dyDescent="0.25">
      <c r="A240" s="2" t="s">
        <v>387</v>
      </c>
      <c r="B240" s="3">
        <v>45434</v>
      </c>
      <c r="C240" s="2" t="s">
        <v>388</v>
      </c>
      <c r="D240" s="2" t="s">
        <v>41</v>
      </c>
      <c r="E240" s="2">
        <v>4</v>
      </c>
      <c r="F240" s="10">
        <v>152.04</v>
      </c>
      <c r="G240" s="2" t="str">
        <f>_xlfn.XLOOKUP($D$1:$D$361,Products!$A$1:$A$41,Products!$C$1:$C$41)</f>
        <v>Home</v>
      </c>
      <c r="H240" s="2">
        <f>_xlfn.XLOOKUP(Sales!D:D,Products!A:A,Products!D:D)</f>
        <v>38.01</v>
      </c>
      <c r="I240" s="2" t="str">
        <f>_xlfn.XLOOKUP(Table1[[#This Row],[CustomerID]],Customer_info!A:A,Customer_info!D:D)</f>
        <v>India</v>
      </c>
      <c r="J240" s="13">
        <f>Table1[[#This Row],[Quantity]]*Table1[[#This Row],[UnitPrice]]</f>
        <v>152.04</v>
      </c>
    </row>
    <row r="241" spans="1:10" x14ac:dyDescent="0.25">
      <c r="A241" s="2" t="s">
        <v>389</v>
      </c>
      <c r="B241" s="3">
        <v>45468</v>
      </c>
      <c r="C241" s="2" t="s">
        <v>245</v>
      </c>
      <c r="D241" s="2" t="s">
        <v>196</v>
      </c>
      <c r="E241" s="2">
        <v>2</v>
      </c>
      <c r="F241" s="10">
        <v>491.74</v>
      </c>
      <c r="G241" s="2" t="str">
        <f>_xlfn.XLOOKUP($D$1:$D$361,Products!$A$1:$A$41,Products!$C$1:$C$41)</f>
        <v>Beauty</v>
      </c>
      <c r="H241" s="2">
        <f>_xlfn.XLOOKUP(Sales!D:D,Products!A:A,Products!D:D)</f>
        <v>245.87</v>
      </c>
      <c r="I241" s="2" t="str">
        <f>_xlfn.XLOOKUP(Table1[[#This Row],[CustomerID]],Customer_info!A:A,Customer_info!D:D)</f>
        <v>United Kingdom</v>
      </c>
      <c r="J241" s="13">
        <f>Table1[[#This Row],[Quantity]]*Table1[[#This Row],[UnitPrice]]</f>
        <v>491.74</v>
      </c>
    </row>
    <row r="242" spans="1:10" x14ac:dyDescent="0.25">
      <c r="A242" s="2" t="s">
        <v>390</v>
      </c>
      <c r="B242" s="3">
        <v>45457</v>
      </c>
      <c r="C242" s="2" t="s">
        <v>391</v>
      </c>
      <c r="D242" s="2" t="s">
        <v>132</v>
      </c>
      <c r="E242" s="2">
        <v>4</v>
      </c>
      <c r="F242" s="10">
        <v>1351.2</v>
      </c>
      <c r="G242" s="2" t="str">
        <f>_xlfn.XLOOKUP($D$1:$D$361,Products!$A$1:$A$41,Products!$C$1:$C$41)</f>
        <v>Home</v>
      </c>
      <c r="H242" s="2">
        <f>_xlfn.XLOOKUP(Sales!D:D,Products!A:A,Products!D:D)</f>
        <v>337.8</v>
      </c>
      <c r="I242" s="2" t="str">
        <f>_xlfn.XLOOKUP(Table1[[#This Row],[CustomerID]],Customer_info!A:A,Customer_info!D:D)</f>
        <v>United Kingdom</v>
      </c>
      <c r="J242" s="13">
        <f>Table1[[#This Row],[Quantity]]*Table1[[#This Row],[UnitPrice]]</f>
        <v>1351.2</v>
      </c>
    </row>
    <row r="243" spans="1:10" x14ac:dyDescent="0.25">
      <c r="A243" s="2" t="s">
        <v>392</v>
      </c>
      <c r="B243" s="3">
        <v>45406</v>
      </c>
      <c r="C243" s="2" t="s">
        <v>233</v>
      </c>
      <c r="D243" s="2" t="s">
        <v>23</v>
      </c>
      <c r="E243" s="2">
        <v>4</v>
      </c>
      <c r="F243" s="10">
        <v>413.2</v>
      </c>
      <c r="G243" s="2" t="str">
        <f>_xlfn.XLOOKUP($D$1:$D$361,Products!$A$1:$A$41,Products!$C$1:$C$41)</f>
        <v>Beauty</v>
      </c>
      <c r="H243" s="2">
        <f>_xlfn.XLOOKUP(Sales!D:D,Products!A:A,Products!D:D)</f>
        <v>103.3</v>
      </c>
      <c r="I243" s="2" t="str">
        <f>_xlfn.XLOOKUP(Table1[[#This Row],[CustomerID]],Customer_info!A:A,Customer_info!D:D)</f>
        <v>India</v>
      </c>
      <c r="J243" s="13">
        <f>Table1[[#This Row],[Quantity]]*Table1[[#This Row],[UnitPrice]]</f>
        <v>413.2</v>
      </c>
    </row>
    <row r="244" spans="1:10" x14ac:dyDescent="0.25">
      <c r="A244" s="2" t="s">
        <v>393</v>
      </c>
      <c r="B244" s="3">
        <v>45315</v>
      </c>
      <c r="C244" s="2" t="s">
        <v>43</v>
      </c>
      <c r="D244" s="2" t="s">
        <v>103</v>
      </c>
      <c r="E244" s="2">
        <v>1</v>
      </c>
      <c r="F244" s="10">
        <v>139.94999999999999</v>
      </c>
      <c r="G244" s="2" t="str">
        <f>_xlfn.XLOOKUP($D$1:$D$361,Products!$A$1:$A$41,Products!$C$1:$C$41)</f>
        <v>Beauty</v>
      </c>
      <c r="H244" s="2">
        <f>_xlfn.XLOOKUP(Sales!D:D,Products!A:A,Products!D:D)</f>
        <v>139.94999999999999</v>
      </c>
      <c r="I244" s="2" t="str">
        <f>_xlfn.XLOOKUP(Table1[[#This Row],[CustomerID]],Customer_info!A:A,Customer_info!D:D)</f>
        <v>United States</v>
      </c>
      <c r="J244" s="13">
        <f>Table1[[#This Row],[Quantity]]*Table1[[#This Row],[UnitPrice]]</f>
        <v>139.94999999999999</v>
      </c>
    </row>
    <row r="245" spans="1:10" x14ac:dyDescent="0.25">
      <c r="A245" s="2" t="s">
        <v>394</v>
      </c>
      <c r="B245" s="3">
        <v>45348</v>
      </c>
      <c r="C245" s="2" t="s">
        <v>334</v>
      </c>
      <c r="D245" s="2" t="s">
        <v>129</v>
      </c>
      <c r="E245" s="2">
        <v>3</v>
      </c>
      <c r="F245" s="10">
        <v>350.01</v>
      </c>
      <c r="G245" s="2" t="str">
        <f>_xlfn.XLOOKUP($D$1:$D$361,Products!$A$1:$A$41,Products!$C$1:$C$41)</f>
        <v>Home</v>
      </c>
      <c r="H245" s="2">
        <f>_xlfn.XLOOKUP(Sales!D:D,Products!A:A,Products!D:D)</f>
        <v>116.67</v>
      </c>
      <c r="I245" s="2" t="str">
        <f>_xlfn.XLOOKUP(Table1[[#This Row],[CustomerID]],Customer_info!A:A,Customer_info!D:D)</f>
        <v>United Kingdom</v>
      </c>
      <c r="J245" s="13">
        <f>Table1[[#This Row],[Quantity]]*Table1[[#This Row],[UnitPrice]]</f>
        <v>350.01</v>
      </c>
    </row>
    <row r="246" spans="1:10" x14ac:dyDescent="0.25">
      <c r="A246" s="2" t="s">
        <v>395</v>
      </c>
      <c r="B246" s="3">
        <v>45469</v>
      </c>
      <c r="C246" s="2" t="s">
        <v>396</v>
      </c>
      <c r="D246" s="2" t="s">
        <v>260</v>
      </c>
      <c r="E246" s="2">
        <v>4</v>
      </c>
      <c r="F246" s="10">
        <v>782.8</v>
      </c>
      <c r="G246" s="2" t="str">
        <f>_xlfn.XLOOKUP($D$1:$D$361,Products!$A$1:$A$41,Products!$C$1:$C$41)</f>
        <v>Clothing</v>
      </c>
      <c r="H246" s="2">
        <f>_xlfn.XLOOKUP(Sales!D:D,Products!A:A,Products!D:D)</f>
        <v>195.7</v>
      </c>
      <c r="I246" s="2" t="str">
        <f>_xlfn.XLOOKUP(Table1[[#This Row],[CustomerID]],Customer_info!A:A,Customer_info!D:D)</f>
        <v>United States</v>
      </c>
      <c r="J246" s="13">
        <f>Table1[[#This Row],[Quantity]]*Table1[[#This Row],[UnitPrice]]</f>
        <v>782.8</v>
      </c>
    </row>
    <row r="247" spans="1:10" x14ac:dyDescent="0.25">
      <c r="A247" s="2" t="s">
        <v>397</v>
      </c>
      <c r="B247" s="3">
        <v>45370</v>
      </c>
      <c r="C247" s="2" t="s">
        <v>235</v>
      </c>
      <c r="D247" s="2" t="s">
        <v>52</v>
      </c>
      <c r="E247" s="2">
        <v>2</v>
      </c>
      <c r="F247" s="10">
        <v>171.7</v>
      </c>
      <c r="G247" s="2" t="str">
        <f>_xlfn.XLOOKUP($D$1:$D$361,Products!$A$1:$A$41,Products!$C$1:$C$41)</f>
        <v>Beauty</v>
      </c>
      <c r="H247" s="2">
        <f>_xlfn.XLOOKUP(Sales!D:D,Products!A:A,Products!D:D)</f>
        <v>85.85</v>
      </c>
      <c r="I247" s="2" t="str">
        <f>_xlfn.XLOOKUP(Table1[[#This Row],[CustomerID]],Customer_info!A:A,Customer_info!D:D)</f>
        <v>United States</v>
      </c>
      <c r="J247" s="13">
        <f>Table1[[#This Row],[Quantity]]*Table1[[#This Row],[UnitPrice]]</f>
        <v>171.7</v>
      </c>
    </row>
    <row r="248" spans="1:10" x14ac:dyDescent="0.25">
      <c r="A248" s="2" t="s">
        <v>398</v>
      </c>
      <c r="B248" s="3">
        <v>45386</v>
      </c>
      <c r="C248" s="2" t="s">
        <v>264</v>
      </c>
      <c r="D248" s="2" t="s">
        <v>304</v>
      </c>
      <c r="E248" s="2">
        <v>5</v>
      </c>
      <c r="F248" s="10">
        <v>1371.1</v>
      </c>
      <c r="G248" s="2" t="str">
        <f>_xlfn.XLOOKUP($D$1:$D$361,Products!$A$1:$A$41,Products!$C$1:$C$41)</f>
        <v>Clothing</v>
      </c>
      <c r="H248" s="2">
        <f>_xlfn.XLOOKUP(Sales!D:D,Products!A:A,Products!D:D)</f>
        <v>274.22000000000003</v>
      </c>
      <c r="I248" s="2" t="str">
        <f>_xlfn.XLOOKUP(Table1[[#This Row],[CustomerID]],Customer_info!A:A,Customer_info!D:D)</f>
        <v>Canada</v>
      </c>
      <c r="J248" s="13">
        <f>Table1[[#This Row],[Quantity]]*Table1[[#This Row],[UnitPrice]]</f>
        <v>1371.1000000000001</v>
      </c>
    </row>
    <row r="249" spans="1:10" x14ac:dyDescent="0.25">
      <c r="A249" s="2" t="s">
        <v>399</v>
      </c>
      <c r="B249" s="3">
        <v>45433</v>
      </c>
      <c r="C249" s="2" t="s">
        <v>323</v>
      </c>
      <c r="D249" s="2" t="s">
        <v>14</v>
      </c>
      <c r="E249" s="2">
        <v>4</v>
      </c>
      <c r="F249" s="10">
        <v>946.76</v>
      </c>
      <c r="G249" s="2" t="str">
        <f>_xlfn.XLOOKUP($D$1:$D$361,Products!$A$1:$A$41,Products!$C$1:$C$41)</f>
        <v>Home</v>
      </c>
      <c r="H249" s="2">
        <f>_xlfn.XLOOKUP(Sales!D:D,Products!A:A,Products!D:D)</f>
        <v>236.69</v>
      </c>
      <c r="I249" s="2" t="str">
        <f>_xlfn.XLOOKUP(Table1[[#This Row],[CustomerID]],Customer_info!A:A,Customer_info!D:D)</f>
        <v>United States</v>
      </c>
      <c r="J249" s="13">
        <f>Table1[[#This Row],[Quantity]]*Table1[[#This Row],[UnitPrice]]</f>
        <v>946.76</v>
      </c>
    </row>
    <row r="250" spans="1:10" x14ac:dyDescent="0.25">
      <c r="A250" s="2" t="s">
        <v>400</v>
      </c>
      <c r="B250" s="3">
        <v>45380</v>
      </c>
      <c r="C250" s="2" t="s">
        <v>89</v>
      </c>
      <c r="D250" s="2" t="s">
        <v>55</v>
      </c>
      <c r="E250" s="2">
        <v>5</v>
      </c>
      <c r="F250" s="10">
        <v>653.25</v>
      </c>
      <c r="G250" s="2" t="str">
        <f>_xlfn.XLOOKUP($D$1:$D$361,Products!$A$1:$A$41,Products!$C$1:$C$41)</f>
        <v>Sports</v>
      </c>
      <c r="H250" s="2">
        <f>_xlfn.XLOOKUP(Sales!D:D,Products!A:A,Products!D:D)</f>
        <v>130.65</v>
      </c>
      <c r="I250" s="2" t="str">
        <f>_xlfn.XLOOKUP(Table1[[#This Row],[CustomerID]],Customer_info!A:A,Customer_info!D:D)</f>
        <v>United Kingdom</v>
      </c>
      <c r="J250" s="13">
        <f>Table1[[#This Row],[Quantity]]*Table1[[#This Row],[UnitPrice]]</f>
        <v>653.25</v>
      </c>
    </row>
    <row r="251" spans="1:10" x14ac:dyDescent="0.25">
      <c r="A251" s="2" t="s">
        <v>401</v>
      </c>
      <c r="B251" s="3">
        <v>45432</v>
      </c>
      <c r="C251" s="2" t="s">
        <v>19</v>
      </c>
      <c r="D251" s="2" t="s">
        <v>231</v>
      </c>
      <c r="E251" s="2">
        <v>4</v>
      </c>
      <c r="F251" s="10">
        <v>974.52</v>
      </c>
      <c r="G251" s="2" t="str">
        <f>_xlfn.XLOOKUP($D$1:$D$361,Products!$A$1:$A$41,Products!$C$1:$C$41)</f>
        <v>Sports</v>
      </c>
      <c r="H251" s="2">
        <f>_xlfn.XLOOKUP(Sales!D:D,Products!A:A,Products!D:D)</f>
        <v>243.63</v>
      </c>
      <c r="I251" s="2" t="str">
        <f>_xlfn.XLOOKUP(Table1[[#This Row],[CustomerID]],Customer_info!A:A,Customer_info!D:D)</f>
        <v>United States</v>
      </c>
      <c r="J251" s="13">
        <f>Table1[[#This Row],[Quantity]]*Table1[[#This Row],[UnitPrice]]</f>
        <v>974.52</v>
      </c>
    </row>
    <row r="252" spans="1:10" x14ac:dyDescent="0.25">
      <c r="A252" s="2" t="s">
        <v>402</v>
      </c>
      <c r="B252" s="3">
        <v>45382</v>
      </c>
      <c r="C252" s="2" t="s">
        <v>159</v>
      </c>
      <c r="D252" s="2" t="s">
        <v>231</v>
      </c>
      <c r="E252" s="2">
        <v>3</v>
      </c>
      <c r="F252" s="10">
        <v>730.89</v>
      </c>
      <c r="G252" s="2" t="str">
        <f>_xlfn.XLOOKUP($D$1:$D$361,Products!$A$1:$A$41,Products!$C$1:$C$41)</f>
        <v>Sports</v>
      </c>
      <c r="H252" s="2">
        <f>_xlfn.XLOOKUP(Sales!D:D,Products!A:A,Products!D:D)</f>
        <v>243.63</v>
      </c>
      <c r="I252" s="2" t="str">
        <f>_xlfn.XLOOKUP(Table1[[#This Row],[CustomerID]],Customer_info!A:A,Customer_info!D:D)</f>
        <v>United States</v>
      </c>
      <c r="J252" s="13">
        <f>Table1[[#This Row],[Quantity]]*Table1[[#This Row],[UnitPrice]]</f>
        <v>730.89</v>
      </c>
    </row>
    <row r="253" spans="1:10" x14ac:dyDescent="0.25">
      <c r="A253" s="2" t="s">
        <v>403</v>
      </c>
      <c r="B253" s="3">
        <v>45361</v>
      </c>
      <c r="C253" s="2" t="s">
        <v>74</v>
      </c>
      <c r="D253" s="2" t="s">
        <v>63</v>
      </c>
      <c r="E253" s="2">
        <v>4</v>
      </c>
      <c r="F253" s="10">
        <v>231.92</v>
      </c>
      <c r="G253" s="2" t="str">
        <f>_xlfn.XLOOKUP($D$1:$D$361,Products!$A$1:$A$41,Products!$C$1:$C$41)</f>
        <v>Sports</v>
      </c>
      <c r="H253" s="2">
        <f>_xlfn.XLOOKUP(Sales!D:D,Products!A:A,Products!D:D)</f>
        <v>57.98</v>
      </c>
      <c r="I253" s="2" t="str">
        <f>_xlfn.XLOOKUP(Table1[[#This Row],[CustomerID]],Customer_info!A:A,Customer_info!D:D)</f>
        <v>India</v>
      </c>
      <c r="J253" s="13">
        <f>Table1[[#This Row],[Quantity]]*Table1[[#This Row],[UnitPrice]]</f>
        <v>231.92</v>
      </c>
    </row>
    <row r="254" spans="1:10" x14ac:dyDescent="0.25">
      <c r="A254" s="2" t="s">
        <v>404</v>
      </c>
      <c r="B254" s="3">
        <v>45356</v>
      </c>
      <c r="C254" s="2" t="s">
        <v>93</v>
      </c>
      <c r="D254" s="2" t="s">
        <v>98</v>
      </c>
      <c r="E254" s="2">
        <v>3</v>
      </c>
      <c r="F254" s="10">
        <v>395.52</v>
      </c>
      <c r="G254" s="2" t="str">
        <f>_xlfn.XLOOKUP($D$1:$D$361,Products!$A$1:$A$41,Products!$C$1:$C$41)</f>
        <v>Electronics</v>
      </c>
      <c r="H254" s="2">
        <f>_xlfn.XLOOKUP(Sales!D:D,Products!A:A,Products!D:D)</f>
        <v>131.84</v>
      </c>
      <c r="I254" s="2" t="str">
        <f>_xlfn.XLOOKUP(Table1[[#This Row],[CustomerID]],Customer_info!A:A,Customer_info!D:D)</f>
        <v>United States</v>
      </c>
      <c r="J254" s="13">
        <f>Table1[[#This Row],[Quantity]]*Table1[[#This Row],[UnitPrice]]</f>
        <v>395.52</v>
      </c>
    </row>
    <row r="255" spans="1:10" x14ac:dyDescent="0.25">
      <c r="A255" s="2" t="s">
        <v>405</v>
      </c>
      <c r="B255" s="3">
        <v>45322</v>
      </c>
      <c r="C255" s="2" t="s">
        <v>67</v>
      </c>
      <c r="D255" s="2" t="s">
        <v>160</v>
      </c>
      <c r="E255" s="2">
        <v>2</v>
      </c>
      <c r="F255" s="10">
        <v>87.16</v>
      </c>
      <c r="G255" s="2" t="str">
        <f>_xlfn.XLOOKUP($D$1:$D$361,Products!$A$1:$A$41,Products!$C$1:$C$41)</f>
        <v>Clothing</v>
      </c>
      <c r="H255" s="2">
        <f>_xlfn.XLOOKUP(Sales!D:D,Products!A:A,Products!D:D)</f>
        <v>43.58</v>
      </c>
      <c r="I255" s="2" t="str">
        <f>_xlfn.XLOOKUP(Table1[[#This Row],[CustomerID]],Customer_info!A:A,Customer_info!D:D)</f>
        <v>Canada</v>
      </c>
      <c r="J255" s="13">
        <f>Table1[[#This Row],[Quantity]]*Table1[[#This Row],[UnitPrice]]</f>
        <v>87.16</v>
      </c>
    </row>
    <row r="256" spans="1:10" x14ac:dyDescent="0.25">
      <c r="A256" s="2" t="s">
        <v>406</v>
      </c>
      <c r="B256" s="3">
        <v>45372</v>
      </c>
      <c r="C256" s="2" t="s">
        <v>384</v>
      </c>
      <c r="D256" s="2" t="s">
        <v>196</v>
      </c>
      <c r="E256" s="2">
        <v>2</v>
      </c>
      <c r="F256" s="10">
        <v>491.74</v>
      </c>
      <c r="G256" s="2" t="str">
        <f>_xlfn.XLOOKUP($D$1:$D$361,Products!$A$1:$A$41,Products!$C$1:$C$41)</f>
        <v>Beauty</v>
      </c>
      <c r="H256" s="2">
        <f>_xlfn.XLOOKUP(Sales!D:D,Products!A:A,Products!D:D)</f>
        <v>245.87</v>
      </c>
      <c r="I256" s="2" t="str">
        <f>_xlfn.XLOOKUP(Table1[[#This Row],[CustomerID]],Customer_info!A:A,Customer_info!D:D)</f>
        <v>India</v>
      </c>
      <c r="J256" s="13">
        <f>Table1[[#This Row],[Quantity]]*Table1[[#This Row],[UnitPrice]]</f>
        <v>491.74</v>
      </c>
    </row>
    <row r="257" spans="1:10" x14ac:dyDescent="0.25">
      <c r="A257" s="2" t="s">
        <v>407</v>
      </c>
      <c r="B257" s="3">
        <v>45429</v>
      </c>
      <c r="C257" s="2" t="s">
        <v>310</v>
      </c>
      <c r="D257" s="2" t="s">
        <v>160</v>
      </c>
      <c r="E257" s="2">
        <v>1</v>
      </c>
      <c r="F257" s="10">
        <v>43.58</v>
      </c>
      <c r="G257" s="2" t="str">
        <f>_xlfn.XLOOKUP($D$1:$D$361,Products!$A$1:$A$41,Products!$C$1:$C$41)</f>
        <v>Clothing</v>
      </c>
      <c r="H257" s="2">
        <f>_xlfn.XLOOKUP(Sales!D:D,Products!A:A,Products!D:D)</f>
        <v>43.58</v>
      </c>
      <c r="I257" s="2" t="str">
        <f>_xlfn.XLOOKUP(Table1[[#This Row],[CustomerID]],Customer_info!A:A,Customer_info!D:D)</f>
        <v>United States</v>
      </c>
      <c r="J257" s="13">
        <f>Table1[[#This Row],[Quantity]]*Table1[[#This Row],[UnitPrice]]</f>
        <v>43.58</v>
      </c>
    </row>
    <row r="258" spans="1:10" x14ac:dyDescent="0.25">
      <c r="A258" s="2" t="s">
        <v>408</v>
      </c>
      <c r="B258" s="3">
        <v>45341</v>
      </c>
      <c r="C258" s="2" t="s">
        <v>318</v>
      </c>
      <c r="D258" s="2" t="s">
        <v>132</v>
      </c>
      <c r="E258" s="2">
        <v>2</v>
      </c>
      <c r="F258" s="10">
        <v>675.6</v>
      </c>
      <c r="G258" s="2" t="str">
        <f>_xlfn.XLOOKUP($D$1:$D$361,Products!$A$1:$A$41,Products!$C$1:$C$41)</f>
        <v>Home</v>
      </c>
      <c r="H258" s="2">
        <f>_xlfn.XLOOKUP(Sales!D:D,Products!A:A,Products!D:D)</f>
        <v>337.8</v>
      </c>
      <c r="I258" s="2" t="str">
        <f>_xlfn.XLOOKUP(Table1[[#This Row],[CustomerID]],Customer_info!A:A,Customer_info!D:D)</f>
        <v>United Kingdom</v>
      </c>
      <c r="J258" s="13">
        <f>Table1[[#This Row],[Quantity]]*Table1[[#This Row],[UnitPrice]]</f>
        <v>675.6</v>
      </c>
    </row>
    <row r="259" spans="1:10" x14ac:dyDescent="0.25">
      <c r="A259" s="2" t="s">
        <v>409</v>
      </c>
      <c r="B259" s="3">
        <v>45415</v>
      </c>
      <c r="C259" s="2" t="s">
        <v>410</v>
      </c>
      <c r="D259" s="2" t="s">
        <v>129</v>
      </c>
      <c r="E259" s="2">
        <v>2</v>
      </c>
      <c r="F259" s="10">
        <v>233.34</v>
      </c>
      <c r="G259" s="2" t="str">
        <f>_xlfn.XLOOKUP($D$1:$D$361,Products!$A$1:$A$41,Products!$C$1:$C$41)</f>
        <v>Home</v>
      </c>
      <c r="H259" s="2">
        <f>_xlfn.XLOOKUP(Sales!D:D,Products!A:A,Products!D:D)</f>
        <v>116.67</v>
      </c>
      <c r="I259" s="2" t="str">
        <f>_xlfn.XLOOKUP(Table1[[#This Row],[CustomerID]],Customer_info!A:A,Customer_info!D:D)</f>
        <v>United Kingdom</v>
      </c>
      <c r="J259" s="13">
        <f>Table1[[#This Row],[Quantity]]*Table1[[#This Row],[UnitPrice]]</f>
        <v>233.34</v>
      </c>
    </row>
    <row r="260" spans="1:10" x14ac:dyDescent="0.25">
      <c r="A260" s="2" t="s">
        <v>411</v>
      </c>
      <c r="B260" s="3">
        <v>45442</v>
      </c>
      <c r="C260" s="2" t="s">
        <v>310</v>
      </c>
      <c r="D260" s="2" t="s">
        <v>146</v>
      </c>
      <c r="E260" s="2">
        <v>3</v>
      </c>
      <c r="F260" s="10">
        <v>998.7</v>
      </c>
      <c r="G260" s="2" t="str">
        <f>_xlfn.XLOOKUP($D$1:$D$361,Products!$A$1:$A$41,Products!$C$1:$C$41)</f>
        <v>Electronics</v>
      </c>
      <c r="H260" s="2">
        <f>_xlfn.XLOOKUP(Sales!D:D,Products!A:A,Products!D:D)</f>
        <v>332.9</v>
      </c>
      <c r="I260" s="2" t="str">
        <f>_xlfn.XLOOKUP(Table1[[#This Row],[CustomerID]],Customer_info!A:A,Customer_info!D:D)</f>
        <v>United States</v>
      </c>
      <c r="J260" s="13">
        <f>Table1[[#This Row],[Quantity]]*Table1[[#This Row],[UnitPrice]]</f>
        <v>998.69999999999993</v>
      </c>
    </row>
    <row r="261" spans="1:10" x14ac:dyDescent="0.25">
      <c r="A261" s="2" t="s">
        <v>412</v>
      </c>
      <c r="B261" s="3">
        <v>45444</v>
      </c>
      <c r="C261" s="2" t="s">
        <v>89</v>
      </c>
      <c r="D261" s="2" t="s">
        <v>124</v>
      </c>
      <c r="E261" s="2">
        <v>5</v>
      </c>
      <c r="F261" s="10">
        <v>198.5</v>
      </c>
      <c r="G261" s="2" t="str">
        <f>_xlfn.XLOOKUP($D$1:$D$361,Products!$A$1:$A$41,Products!$C$1:$C$41)</f>
        <v>Electronics</v>
      </c>
      <c r="H261" s="2">
        <f>_xlfn.XLOOKUP(Sales!D:D,Products!A:A,Products!D:D)</f>
        <v>39.700000000000003</v>
      </c>
      <c r="I261" s="2" t="str">
        <f>_xlfn.XLOOKUP(Table1[[#This Row],[CustomerID]],Customer_info!A:A,Customer_info!D:D)</f>
        <v>United Kingdom</v>
      </c>
      <c r="J261" s="13">
        <f>Table1[[#This Row],[Quantity]]*Table1[[#This Row],[UnitPrice]]</f>
        <v>198.5</v>
      </c>
    </row>
    <row r="262" spans="1:10" x14ac:dyDescent="0.25">
      <c r="A262" s="2" t="s">
        <v>413</v>
      </c>
      <c r="B262" s="3">
        <v>45317</v>
      </c>
      <c r="C262" s="2" t="s">
        <v>312</v>
      </c>
      <c r="D262" s="2" t="s">
        <v>20</v>
      </c>
      <c r="E262" s="2">
        <v>3</v>
      </c>
      <c r="F262" s="10">
        <v>623.54999999999995</v>
      </c>
      <c r="G262" s="2" t="str">
        <f>_xlfn.XLOOKUP($D$1:$D$361,Products!$A$1:$A$41,Products!$C$1:$C$41)</f>
        <v>Clothing</v>
      </c>
      <c r="H262" s="2">
        <f>_xlfn.XLOOKUP(Sales!D:D,Products!A:A,Products!D:D)</f>
        <v>207.85</v>
      </c>
      <c r="I262" s="2" t="str">
        <f>_xlfn.XLOOKUP(Table1[[#This Row],[CustomerID]],Customer_info!A:A,Customer_info!D:D)</f>
        <v>United Kingdom</v>
      </c>
      <c r="J262" s="13">
        <f>Table1[[#This Row],[Quantity]]*Table1[[#This Row],[UnitPrice]]</f>
        <v>623.54999999999995</v>
      </c>
    </row>
    <row r="263" spans="1:10" x14ac:dyDescent="0.25">
      <c r="A263" s="2" t="s">
        <v>414</v>
      </c>
      <c r="B263" s="3">
        <v>45367</v>
      </c>
      <c r="C263" s="2" t="s">
        <v>241</v>
      </c>
      <c r="D263" s="2" t="s">
        <v>260</v>
      </c>
      <c r="E263" s="2">
        <v>2</v>
      </c>
      <c r="F263" s="10">
        <v>391.4</v>
      </c>
      <c r="G263" s="2" t="str">
        <f>_xlfn.XLOOKUP($D$1:$D$361,Products!$A$1:$A$41,Products!$C$1:$C$41)</f>
        <v>Clothing</v>
      </c>
      <c r="H263" s="2">
        <f>_xlfn.XLOOKUP(Sales!D:D,Products!A:A,Products!D:D)</f>
        <v>195.7</v>
      </c>
      <c r="I263" s="2" t="str">
        <f>_xlfn.XLOOKUP(Table1[[#This Row],[CustomerID]],Customer_info!A:A,Customer_info!D:D)</f>
        <v>United States</v>
      </c>
      <c r="J263" s="13">
        <f>Table1[[#This Row],[Quantity]]*Table1[[#This Row],[UnitPrice]]</f>
        <v>391.4</v>
      </c>
    </row>
    <row r="264" spans="1:10" x14ac:dyDescent="0.25">
      <c r="A264" s="2" t="s">
        <v>415</v>
      </c>
      <c r="B264" s="3">
        <v>45384</v>
      </c>
      <c r="C264" s="2" t="s">
        <v>258</v>
      </c>
      <c r="D264" s="2" t="s">
        <v>98</v>
      </c>
      <c r="E264" s="2">
        <v>2</v>
      </c>
      <c r="F264" s="10">
        <v>263.68</v>
      </c>
      <c r="G264" s="2" t="str">
        <f>_xlfn.XLOOKUP($D$1:$D$361,Products!$A$1:$A$41,Products!$C$1:$C$41)</f>
        <v>Electronics</v>
      </c>
      <c r="H264" s="2">
        <f>_xlfn.XLOOKUP(Sales!D:D,Products!A:A,Products!D:D)</f>
        <v>131.84</v>
      </c>
      <c r="I264" s="2" t="str">
        <f>_xlfn.XLOOKUP(Table1[[#This Row],[CustomerID]],Customer_info!A:A,Customer_info!D:D)</f>
        <v>Canada</v>
      </c>
      <c r="J264" s="13">
        <f>Table1[[#This Row],[Quantity]]*Table1[[#This Row],[UnitPrice]]</f>
        <v>263.68</v>
      </c>
    </row>
    <row r="265" spans="1:10" x14ac:dyDescent="0.25">
      <c r="A265" s="2" t="s">
        <v>416</v>
      </c>
      <c r="B265" s="3">
        <v>45369</v>
      </c>
      <c r="C265" s="2" t="s">
        <v>295</v>
      </c>
      <c r="D265" s="2" t="s">
        <v>55</v>
      </c>
      <c r="E265" s="2">
        <v>2</v>
      </c>
      <c r="F265" s="10">
        <v>261.3</v>
      </c>
      <c r="G265" s="2" t="str">
        <f>_xlfn.XLOOKUP($D$1:$D$361,Products!$A$1:$A$41,Products!$C$1:$C$41)</f>
        <v>Sports</v>
      </c>
      <c r="H265" s="2">
        <f>_xlfn.XLOOKUP(Sales!D:D,Products!A:A,Products!D:D)</f>
        <v>130.65</v>
      </c>
      <c r="I265" s="2" t="str">
        <f>_xlfn.XLOOKUP(Table1[[#This Row],[CustomerID]],Customer_info!A:A,Customer_info!D:D)</f>
        <v>United States</v>
      </c>
      <c r="J265" s="13">
        <f>Table1[[#This Row],[Quantity]]*Table1[[#This Row],[UnitPrice]]</f>
        <v>261.3</v>
      </c>
    </row>
    <row r="266" spans="1:10" x14ac:dyDescent="0.25">
      <c r="A266" s="2" t="s">
        <v>417</v>
      </c>
      <c r="B266" s="3">
        <v>45428</v>
      </c>
      <c r="C266" s="2" t="s">
        <v>70</v>
      </c>
      <c r="D266" s="2" t="s">
        <v>26</v>
      </c>
      <c r="E266" s="2">
        <v>1</v>
      </c>
      <c r="F266" s="10">
        <v>149.77000000000001</v>
      </c>
      <c r="G266" s="2" t="str">
        <f>_xlfn.XLOOKUP($D$1:$D$361,Products!$A$1:$A$41,Products!$C$1:$C$41)</f>
        <v>Beauty</v>
      </c>
      <c r="H266" s="2">
        <f>_xlfn.XLOOKUP(Sales!D:D,Products!A:A,Products!D:D)</f>
        <v>149.77000000000001</v>
      </c>
      <c r="I266" s="2" t="str">
        <f>_xlfn.XLOOKUP(Table1[[#This Row],[CustomerID]],Customer_info!A:A,Customer_info!D:D)</f>
        <v>United States</v>
      </c>
      <c r="J266" s="13">
        <f>Table1[[#This Row],[Quantity]]*Table1[[#This Row],[UnitPrice]]</f>
        <v>149.77000000000001</v>
      </c>
    </row>
    <row r="267" spans="1:10" x14ac:dyDescent="0.25">
      <c r="A267" s="2" t="s">
        <v>418</v>
      </c>
      <c r="B267" s="3">
        <v>45362</v>
      </c>
      <c r="C267" s="2" t="s">
        <v>89</v>
      </c>
      <c r="D267" s="2" t="s">
        <v>129</v>
      </c>
      <c r="E267" s="2">
        <v>2</v>
      </c>
      <c r="F267" s="10">
        <v>233.34</v>
      </c>
      <c r="G267" s="2" t="str">
        <f>_xlfn.XLOOKUP($D$1:$D$361,Products!$A$1:$A$41,Products!$C$1:$C$41)</f>
        <v>Home</v>
      </c>
      <c r="H267" s="2">
        <f>_xlfn.XLOOKUP(Sales!D:D,Products!A:A,Products!D:D)</f>
        <v>116.67</v>
      </c>
      <c r="I267" s="2" t="str">
        <f>_xlfn.XLOOKUP(Table1[[#This Row],[CustomerID]],Customer_info!A:A,Customer_info!D:D)</f>
        <v>United Kingdom</v>
      </c>
      <c r="J267" s="13">
        <f>Table1[[#This Row],[Quantity]]*Table1[[#This Row],[UnitPrice]]</f>
        <v>233.34</v>
      </c>
    </row>
    <row r="268" spans="1:10" x14ac:dyDescent="0.25">
      <c r="A268" s="2" t="s">
        <v>419</v>
      </c>
      <c r="B268" s="3">
        <v>45305</v>
      </c>
      <c r="C268" s="2" t="s">
        <v>214</v>
      </c>
      <c r="D268" s="2" t="s">
        <v>81</v>
      </c>
      <c r="E268" s="2">
        <v>1</v>
      </c>
      <c r="F268" s="10">
        <v>433.28</v>
      </c>
      <c r="G268" s="2" t="str">
        <f>_xlfn.XLOOKUP($D$1:$D$361,Products!$A$1:$A$41,Products!$C$1:$C$41)</f>
        <v>Beauty</v>
      </c>
      <c r="H268" s="2">
        <f>_xlfn.XLOOKUP(Sales!D:D,Products!A:A,Products!D:D)</f>
        <v>433.28</v>
      </c>
      <c r="I268" s="2" t="str">
        <f>_xlfn.XLOOKUP(Table1[[#This Row],[CustomerID]],Customer_info!A:A,Customer_info!D:D)</f>
        <v>United Kingdom</v>
      </c>
      <c r="J268" s="13">
        <f>Table1[[#This Row],[Quantity]]*Table1[[#This Row],[UnitPrice]]</f>
        <v>433.28</v>
      </c>
    </row>
    <row r="269" spans="1:10" x14ac:dyDescent="0.25">
      <c r="A269" s="2" t="s">
        <v>420</v>
      </c>
      <c r="B269" s="3">
        <v>45366</v>
      </c>
      <c r="C269" s="2" t="s">
        <v>105</v>
      </c>
      <c r="D269" s="2" t="s">
        <v>129</v>
      </c>
      <c r="E269" s="2">
        <v>5</v>
      </c>
      <c r="F269" s="10">
        <v>583.35</v>
      </c>
      <c r="G269" s="2" t="str">
        <f>_xlfn.XLOOKUP($D$1:$D$361,Products!$A$1:$A$41,Products!$C$1:$C$41)</f>
        <v>Home</v>
      </c>
      <c r="H269" s="2">
        <f>_xlfn.XLOOKUP(Sales!D:D,Products!A:A,Products!D:D)</f>
        <v>116.67</v>
      </c>
      <c r="I269" s="2" t="str">
        <f>_xlfn.XLOOKUP(Table1[[#This Row],[CustomerID]],Customer_info!A:A,Customer_info!D:D)</f>
        <v>United Kingdom</v>
      </c>
      <c r="J269" s="13">
        <f>Table1[[#This Row],[Quantity]]*Table1[[#This Row],[UnitPrice]]</f>
        <v>583.35</v>
      </c>
    </row>
    <row r="270" spans="1:10" x14ac:dyDescent="0.25">
      <c r="A270" s="2" t="s">
        <v>421</v>
      </c>
      <c r="B270" s="3">
        <v>45455</v>
      </c>
      <c r="C270" s="2" t="s">
        <v>422</v>
      </c>
      <c r="D270" s="2" t="s">
        <v>260</v>
      </c>
      <c r="E270" s="2">
        <v>2</v>
      </c>
      <c r="F270" s="10">
        <v>391.4</v>
      </c>
      <c r="G270" s="2" t="str">
        <f>_xlfn.XLOOKUP($D$1:$D$361,Products!$A$1:$A$41,Products!$C$1:$C$41)</f>
        <v>Clothing</v>
      </c>
      <c r="H270" s="2">
        <f>_xlfn.XLOOKUP(Sales!D:D,Products!A:A,Products!D:D)</f>
        <v>195.7</v>
      </c>
      <c r="I270" s="2" t="str">
        <f>_xlfn.XLOOKUP(Table1[[#This Row],[CustomerID]],Customer_info!A:A,Customer_info!D:D)</f>
        <v>India</v>
      </c>
      <c r="J270" s="13">
        <f>Table1[[#This Row],[Quantity]]*Table1[[#This Row],[UnitPrice]]</f>
        <v>391.4</v>
      </c>
    </row>
    <row r="271" spans="1:10" x14ac:dyDescent="0.25">
      <c r="A271" s="2" t="s">
        <v>423</v>
      </c>
      <c r="B271" s="3">
        <v>45318</v>
      </c>
      <c r="C271" s="2" t="s">
        <v>16</v>
      </c>
      <c r="D271" s="2" t="s">
        <v>152</v>
      </c>
      <c r="E271" s="2">
        <v>4</v>
      </c>
      <c r="F271" s="10">
        <v>1363.4</v>
      </c>
      <c r="G271" s="2" t="str">
        <f>_xlfn.XLOOKUP($D$1:$D$361,Products!$A$1:$A$41,Products!$C$1:$C$41)</f>
        <v>Electronics</v>
      </c>
      <c r="H271" s="2">
        <f>_xlfn.XLOOKUP(Sales!D:D,Products!A:A,Products!D:D)</f>
        <v>340.85</v>
      </c>
      <c r="I271" s="2" t="str">
        <f>_xlfn.XLOOKUP(Table1[[#This Row],[CustomerID]],Customer_info!A:A,Customer_info!D:D)</f>
        <v>Canada</v>
      </c>
      <c r="J271" s="13">
        <f>Table1[[#This Row],[Quantity]]*Table1[[#This Row],[UnitPrice]]</f>
        <v>1363.4</v>
      </c>
    </row>
    <row r="272" spans="1:10" x14ac:dyDescent="0.25">
      <c r="A272" s="2" t="s">
        <v>424</v>
      </c>
      <c r="B272" s="3">
        <v>45438</v>
      </c>
      <c r="C272" s="2" t="s">
        <v>37</v>
      </c>
      <c r="D272" s="2" t="s">
        <v>60</v>
      </c>
      <c r="E272" s="2">
        <v>1</v>
      </c>
      <c r="F272" s="10">
        <v>91.49</v>
      </c>
      <c r="G272" s="2" t="str">
        <f>_xlfn.XLOOKUP($D$1:$D$361,Products!$A$1:$A$41,Products!$C$1:$C$41)</f>
        <v>Clothing</v>
      </c>
      <c r="H272" s="2">
        <f>_xlfn.XLOOKUP(Sales!D:D,Products!A:A,Products!D:D)</f>
        <v>91.49</v>
      </c>
      <c r="I272" s="2" t="str">
        <f>_xlfn.XLOOKUP(Table1[[#This Row],[CustomerID]],Customer_info!A:A,Customer_info!D:D)</f>
        <v>United States</v>
      </c>
      <c r="J272" s="13">
        <f>Table1[[#This Row],[Quantity]]*Table1[[#This Row],[UnitPrice]]</f>
        <v>91.49</v>
      </c>
    </row>
    <row r="273" spans="1:10" x14ac:dyDescent="0.25">
      <c r="A273" s="2" t="s">
        <v>425</v>
      </c>
      <c r="B273" s="3">
        <v>45412</v>
      </c>
      <c r="C273" s="2" t="s">
        <v>235</v>
      </c>
      <c r="D273" s="2" t="s">
        <v>225</v>
      </c>
      <c r="E273" s="2">
        <v>3</v>
      </c>
      <c r="F273" s="10">
        <v>1391.76</v>
      </c>
      <c r="G273" s="2" t="str">
        <f>_xlfn.XLOOKUP($D$1:$D$361,Products!$A$1:$A$41,Products!$C$1:$C$41)</f>
        <v>Electronics</v>
      </c>
      <c r="H273" s="2">
        <f>_xlfn.XLOOKUP(Sales!D:D,Products!A:A,Products!D:D)</f>
        <v>463.92</v>
      </c>
      <c r="I273" s="2" t="str">
        <f>_xlfn.XLOOKUP(Table1[[#This Row],[CustomerID]],Customer_info!A:A,Customer_info!D:D)</f>
        <v>United States</v>
      </c>
      <c r="J273" s="13">
        <f>Table1[[#This Row],[Quantity]]*Table1[[#This Row],[UnitPrice]]</f>
        <v>1391.76</v>
      </c>
    </row>
    <row r="274" spans="1:10" x14ac:dyDescent="0.25">
      <c r="A274" s="2" t="s">
        <v>426</v>
      </c>
      <c r="B274" s="3">
        <v>45404</v>
      </c>
      <c r="C274" s="2" t="s">
        <v>170</v>
      </c>
      <c r="D274" s="2" t="s">
        <v>114</v>
      </c>
      <c r="E274" s="2">
        <v>4</v>
      </c>
      <c r="F274" s="10">
        <v>908.52</v>
      </c>
      <c r="G274" s="2" t="str">
        <f>_xlfn.XLOOKUP($D$1:$D$361,Products!$A$1:$A$41,Products!$C$1:$C$41)</f>
        <v>Electronics</v>
      </c>
      <c r="H274" s="2">
        <f>_xlfn.XLOOKUP(Sales!D:D,Products!A:A,Products!D:D)</f>
        <v>227.13</v>
      </c>
      <c r="I274" s="2" t="str">
        <f>_xlfn.XLOOKUP(Table1[[#This Row],[CustomerID]],Customer_info!A:A,Customer_info!D:D)</f>
        <v>United Kingdom</v>
      </c>
      <c r="J274" s="13">
        <f>Table1[[#This Row],[Quantity]]*Table1[[#This Row],[UnitPrice]]</f>
        <v>908.52</v>
      </c>
    </row>
    <row r="275" spans="1:10" x14ac:dyDescent="0.25">
      <c r="A275" s="2" t="s">
        <v>427</v>
      </c>
      <c r="B275" s="3">
        <v>45339</v>
      </c>
      <c r="C275" s="2" t="s">
        <v>315</v>
      </c>
      <c r="D275" s="2" t="s">
        <v>129</v>
      </c>
      <c r="E275" s="2">
        <v>3</v>
      </c>
      <c r="F275" s="10">
        <v>350.01</v>
      </c>
      <c r="G275" s="2" t="str">
        <f>_xlfn.XLOOKUP($D$1:$D$361,Products!$A$1:$A$41,Products!$C$1:$C$41)</f>
        <v>Home</v>
      </c>
      <c r="H275" s="2">
        <f>_xlfn.XLOOKUP(Sales!D:D,Products!A:A,Products!D:D)</f>
        <v>116.67</v>
      </c>
      <c r="I275" s="2" t="str">
        <f>_xlfn.XLOOKUP(Table1[[#This Row],[CustomerID]],Customer_info!A:A,Customer_info!D:D)</f>
        <v>United States</v>
      </c>
      <c r="J275" s="13">
        <f>Table1[[#This Row],[Quantity]]*Table1[[#This Row],[UnitPrice]]</f>
        <v>350.01</v>
      </c>
    </row>
    <row r="276" spans="1:10" x14ac:dyDescent="0.25">
      <c r="A276" s="2" t="s">
        <v>428</v>
      </c>
      <c r="B276" s="3">
        <v>45356</v>
      </c>
      <c r="C276" s="2" t="s">
        <v>198</v>
      </c>
      <c r="D276" s="2" t="s">
        <v>44</v>
      </c>
      <c r="E276" s="2">
        <v>1</v>
      </c>
      <c r="F276" s="10">
        <v>272.77999999999997</v>
      </c>
      <c r="G276" s="2" t="str">
        <f>_xlfn.XLOOKUP($D$1:$D$361,Products!$A$1:$A$41,Products!$C$1:$C$41)</f>
        <v>Clothing</v>
      </c>
      <c r="H276" s="2">
        <f>_xlfn.XLOOKUP(Sales!D:D,Products!A:A,Products!D:D)</f>
        <v>272.77999999999997</v>
      </c>
      <c r="I276" s="2" t="str">
        <f>_xlfn.XLOOKUP(Table1[[#This Row],[CustomerID]],Customer_info!A:A,Customer_info!D:D)</f>
        <v>United Kingdom</v>
      </c>
      <c r="J276" s="13">
        <f>Table1[[#This Row],[Quantity]]*Table1[[#This Row],[UnitPrice]]</f>
        <v>272.77999999999997</v>
      </c>
    </row>
    <row r="277" spans="1:10" x14ac:dyDescent="0.25">
      <c r="A277" s="2" t="s">
        <v>429</v>
      </c>
      <c r="B277" s="3">
        <v>45321</v>
      </c>
      <c r="C277" s="2" t="s">
        <v>241</v>
      </c>
      <c r="D277" s="2" t="s">
        <v>17</v>
      </c>
      <c r="E277" s="2">
        <v>4</v>
      </c>
      <c r="F277" s="10">
        <v>1577.84</v>
      </c>
      <c r="G277" s="2" t="str">
        <f>_xlfn.XLOOKUP($D$1:$D$361,Products!$A$1:$A$41,Products!$C$1:$C$41)</f>
        <v>Clothing</v>
      </c>
      <c r="H277" s="2">
        <f>_xlfn.XLOOKUP(Sales!D:D,Products!A:A,Products!D:D)</f>
        <v>394.46</v>
      </c>
      <c r="I277" s="2" t="str">
        <f>_xlfn.XLOOKUP(Table1[[#This Row],[CustomerID]],Customer_info!A:A,Customer_info!D:D)</f>
        <v>United States</v>
      </c>
      <c r="J277" s="13">
        <f>Table1[[#This Row],[Quantity]]*Table1[[#This Row],[UnitPrice]]</f>
        <v>1577.84</v>
      </c>
    </row>
    <row r="278" spans="1:10" x14ac:dyDescent="0.25">
      <c r="A278" s="2" t="s">
        <v>430</v>
      </c>
      <c r="B278" s="3">
        <v>45394</v>
      </c>
      <c r="C278" s="2" t="s">
        <v>431</v>
      </c>
      <c r="D278" s="2" t="s">
        <v>231</v>
      </c>
      <c r="E278" s="2">
        <v>1</v>
      </c>
      <c r="F278" s="10">
        <v>243.63</v>
      </c>
      <c r="G278" s="2" t="str">
        <f>_xlfn.XLOOKUP($D$1:$D$361,Products!$A$1:$A$41,Products!$C$1:$C$41)</f>
        <v>Sports</v>
      </c>
      <c r="H278" s="2">
        <f>_xlfn.XLOOKUP(Sales!D:D,Products!A:A,Products!D:D)</f>
        <v>243.63</v>
      </c>
      <c r="I278" s="2" t="str">
        <f>_xlfn.XLOOKUP(Table1[[#This Row],[CustomerID]],Customer_info!A:A,Customer_info!D:D)</f>
        <v>United Kingdom</v>
      </c>
      <c r="J278" s="13">
        <f>Table1[[#This Row],[Quantity]]*Table1[[#This Row],[UnitPrice]]</f>
        <v>243.63</v>
      </c>
    </row>
    <row r="279" spans="1:10" x14ac:dyDescent="0.25">
      <c r="A279" s="2" t="s">
        <v>432</v>
      </c>
      <c r="B279" s="3">
        <v>45310</v>
      </c>
      <c r="C279" s="2" t="s">
        <v>247</v>
      </c>
      <c r="D279" s="2" t="s">
        <v>68</v>
      </c>
      <c r="E279" s="2">
        <v>4</v>
      </c>
      <c r="F279" s="10">
        <v>1609.16</v>
      </c>
      <c r="G279" s="2" t="str">
        <f>_xlfn.XLOOKUP($D$1:$D$361,Products!$A$1:$A$41,Products!$C$1:$C$41)</f>
        <v>Home</v>
      </c>
      <c r="H279" s="2">
        <f>_xlfn.XLOOKUP(Sales!D:D,Products!A:A,Products!D:D)</f>
        <v>402.29</v>
      </c>
      <c r="I279" s="2" t="str">
        <f>_xlfn.XLOOKUP(Table1[[#This Row],[CustomerID]],Customer_info!A:A,Customer_info!D:D)</f>
        <v>United States</v>
      </c>
      <c r="J279" s="13">
        <f>Table1[[#This Row],[Quantity]]*Table1[[#This Row],[UnitPrice]]</f>
        <v>1609.16</v>
      </c>
    </row>
    <row r="280" spans="1:10" x14ac:dyDescent="0.25">
      <c r="A280" s="2" t="s">
        <v>433</v>
      </c>
      <c r="B280" s="3">
        <v>45453</v>
      </c>
      <c r="C280" s="2" t="s">
        <v>16</v>
      </c>
      <c r="D280" s="2" t="s">
        <v>196</v>
      </c>
      <c r="E280" s="2">
        <v>5</v>
      </c>
      <c r="F280" s="10">
        <v>1229.3499999999999</v>
      </c>
      <c r="G280" s="2" t="str">
        <f>_xlfn.XLOOKUP($D$1:$D$361,Products!$A$1:$A$41,Products!$C$1:$C$41)</f>
        <v>Beauty</v>
      </c>
      <c r="H280" s="2">
        <f>_xlfn.XLOOKUP(Sales!D:D,Products!A:A,Products!D:D)</f>
        <v>245.87</v>
      </c>
      <c r="I280" s="2" t="str">
        <f>_xlfn.XLOOKUP(Table1[[#This Row],[CustomerID]],Customer_info!A:A,Customer_info!D:D)</f>
        <v>Canada</v>
      </c>
      <c r="J280" s="13">
        <f>Table1[[#This Row],[Quantity]]*Table1[[#This Row],[UnitPrice]]</f>
        <v>1229.3499999999999</v>
      </c>
    </row>
    <row r="281" spans="1:10" x14ac:dyDescent="0.25">
      <c r="A281" s="2" t="s">
        <v>434</v>
      </c>
      <c r="B281" s="3">
        <v>45330</v>
      </c>
      <c r="C281" s="2" t="s">
        <v>170</v>
      </c>
      <c r="D281" s="2" t="s">
        <v>23</v>
      </c>
      <c r="E281" s="2">
        <v>1</v>
      </c>
      <c r="F281" s="10">
        <v>103.3</v>
      </c>
      <c r="G281" s="2" t="str">
        <f>_xlfn.XLOOKUP($D$1:$D$361,Products!$A$1:$A$41,Products!$C$1:$C$41)</f>
        <v>Beauty</v>
      </c>
      <c r="H281" s="2">
        <f>_xlfn.XLOOKUP(Sales!D:D,Products!A:A,Products!D:D)</f>
        <v>103.3</v>
      </c>
      <c r="I281" s="2" t="str">
        <f>_xlfn.XLOOKUP(Table1[[#This Row],[CustomerID]],Customer_info!A:A,Customer_info!D:D)</f>
        <v>United Kingdom</v>
      </c>
      <c r="J281" s="13">
        <f>Table1[[#This Row],[Quantity]]*Table1[[#This Row],[UnitPrice]]</f>
        <v>103.3</v>
      </c>
    </row>
    <row r="282" spans="1:10" x14ac:dyDescent="0.25">
      <c r="A282" s="2" t="s">
        <v>435</v>
      </c>
      <c r="B282" s="3">
        <v>45436</v>
      </c>
      <c r="C282" s="2" t="s">
        <v>436</v>
      </c>
      <c r="D282" s="2" t="s">
        <v>63</v>
      </c>
      <c r="E282" s="2">
        <v>2</v>
      </c>
      <c r="F282" s="10">
        <v>115.96</v>
      </c>
      <c r="G282" s="2" t="str">
        <f>_xlfn.XLOOKUP($D$1:$D$361,Products!$A$1:$A$41,Products!$C$1:$C$41)</f>
        <v>Sports</v>
      </c>
      <c r="H282" s="2">
        <f>_xlfn.XLOOKUP(Sales!D:D,Products!A:A,Products!D:D)</f>
        <v>57.98</v>
      </c>
      <c r="I282" s="2" t="str">
        <f>_xlfn.XLOOKUP(Table1[[#This Row],[CustomerID]],Customer_info!A:A,Customer_info!D:D)</f>
        <v>United States</v>
      </c>
      <c r="J282" s="13">
        <f>Table1[[#This Row],[Quantity]]*Table1[[#This Row],[UnitPrice]]</f>
        <v>115.96</v>
      </c>
    </row>
    <row r="283" spans="1:10" x14ac:dyDescent="0.25">
      <c r="A283" s="2" t="s">
        <v>437</v>
      </c>
      <c r="B283" s="3">
        <v>45313</v>
      </c>
      <c r="C283" s="2" t="s">
        <v>111</v>
      </c>
      <c r="D283" s="2" t="s">
        <v>63</v>
      </c>
      <c r="E283" s="2">
        <v>3</v>
      </c>
      <c r="F283" s="10">
        <v>173.94</v>
      </c>
      <c r="G283" s="2" t="str">
        <f>_xlfn.XLOOKUP($D$1:$D$361,Products!$A$1:$A$41,Products!$C$1:$C$41)</f>
        <v>Sports</v>
      </c>
      <c r="H283" s="2">
        <f>_xlfn.XLOOKUP(Sales!D:D,Products!A:A,Products!D:D)</f>
        <v>57.98</v>
      </c>
      <c r="I283" s="2" t="str">
        <f>_xlfn.XLOOKUP(Table1[[#This Row],[CustomerID]],Customer_info!A:A,Customer_info!D:D)</f>
        <v>United Kingdom</v>
      </c>
      <c r="J283" s="13">
        <f>Table1[[#This Row],[Quantity]]*Table1[[#This Row],[UnitPrice]]</f>
        <v>173.94</v>
      </c>
    </row>
    <row r="284" spans="1:10" x14ac:dyDescent="0.25">
      <c r="A284" s="2" t="s">
        <v>438</v>
      </c>
      <c r="B284" s="3">
        <v>45322</v>
      </c>
      <c r="C284" s="2" t="s">
        <v>439</v>
      </c>
      <c r="D284" s="2" t="s">
        <v>20</v>
      </c>
      <c r="E284" s="2">
        <v>2</v>
      </c>
      <c r="F284" s="10">
        <v>415.7</v>
      </c>
      <c r="G284" s="2" t="str">
        <f>_xlfn.XLOOKUP($D$1:$D$361,Products!$A$1:$A$41,Products!$C$1:$C$41)</f>
        <v>Clothing</v>
      </c>
      <c r="H284" s="2">
        <f>_xlfn.XLOOKUP(Sales!D:D,Products!A:A,Products!D:D)</f>
        <v>207.85</v>
      </c>
      <c r="I284" s="2" t="str">
        <f>_xlfn.XLOOKUP(Table1[[#This Row],[CustomerID]],Customer_info!A:A,Customer_info!D:D)</f>
        <v>Canada</v>
      </c>
      <c r="J284" s="13">
        <f>Table1[[#This Row],[Quantity]]*Table1[[#This Row],[UnitPrice]]</f>
        <v>415.7</v>
      </c>
    </row>
    <row r="285" spans="1:10" x14ac:dyDescent="0.25">
      <c r="A285" s="2" t="s">
        <v>440</v>
      </c>
      <c r="B285" s="3">
        <v>45398</v>
      </c>
      <c r="C285" s="2" t="s">
        <v>391</v>
      </c>
      <c r="D285" s="2" t="s">
        <v>231</v>
      </c>
      <c r="E285" s="2">
        <v>5</v>
      </c>
      <c r="F285" s="10">
        <v>1218.1500000000001</v>
      </c>
      <c r="G285" s="2" t="str">
        <f>_xlfn.XLOOKUP($D$1:$D$361,Products!$A$1:$A$41,Products!$C$1:$C$41)</f>
        <v>Sports</v>
      </c>
      <c r="H285" s="2">
        <f>_xlfn.XLOOKUP(Sales!D:D,Products!A:A,Products!D:D)</f>
        <v>243.63</v>
      </c>
      <c r="I285" s="2" t="str">
        <f>_xlfn.XLOOKUP(Table1[[#This Row],[CustomerID]],Customer_info!A:A,Customer_info!D:D)</f>
        <v>United Kingdom</v>
      </c>
      <c r="J285" s="13">
        <f>Table1[[#This Row],[Quantity]]*Table1[[#This Row],[UnitPrice]]</f>
        <v>1218.1500000000001</v>
      </c>
    </row>
    <row r="286" spans="1:10" x14ac:dyDescent="0.25">
      <c r="A286" s="2" t="s">
        <v>441</v>
      </c>
      <c r="B286" s="3">
        <v>45444</v>
      </c>
      <c r="C286" s="2" t="s">
        <v>442</v>
      </c>
      <c r="D286" s="2" t="s">
        <v>152</v>
      </c>
      <c r="E286" s="2">
        <v>5</v>
      </c>
      <c r="F286" s="10">
        <v>1704.25</v>
      </c>
      <c r="G286" s="2" t="str">
        <f>_xlfn.XLOOKUP($D$1:$D$361,Products!$A$1:$A$41,Products!$C$1:$C$41)</f>
        <v>Electronics</v>
      </c>
      <c r="H286" s="2">
        <f>_xlfn.XLOOKUP(Sales!D:D,Products!A:A,Products!D:D)</f>
        <v>340.85</v>
      </c>
      <c r="I286" s="2" t="str">
        <f>_xlfn.XLOOKUP(Table1[[#This Row],[CustomerID]],Customer_info!A:A,Customer_info!D:D)</f>
        <v>United Kingdom</v>
      </c>
      <c r="J286" s="13">
        <f>Table1[[#This Row],[Quantity]]*Table1[[#This Row],[UnitPrice]]</f>
        <v>1704.25</v>
      </c>
    </row>
    <row r="287" spans="1:10" x14ac:dyDescent="0.25">
      <c r="A287" s="2" t="s">
        <v>443</v>
      </c>
      <c r="B287" s="3">
        <v>45349</v>
      </c>
      <c r="C287" s="2" t="s">
        <v>95</v>
      </c>
      <c r="D287" s="2" t="s">
        <v>152</v>
      </c>
      <c r="E287" s="2">
        <v>5</v>
      </c>
      <c r="F287" s="10">
        <v>1704.25</v>
      </c>
      <c r="G287" s="2" t="str">
        <f>_xlfn.XLOOKUP($D$1:$D$361,Products!$A$1:$A$41,Products!$C$1:$C$41)</f>
        <v>Electronics</v>
      </c>
      <c r="H287" s="2">
        <f>_xlfn.XLOOKUP(Sales!D:D,Products!A:A,Products!D:D)</f>
        <v>340.85</v>
      </c>
      <c r="I287" s="2" t="str">
        <f>_xlfn.XLOOKUP(Table1[[#This Row],[CustomerID]],Customer_info!A:A,Customer_info!D:D)</f>
        <v>United Kingdom</v>
      </c>
      <c r="J287" s="13">
        <f>Table1[[#This Row],[Quantity]]*Table1[[#This Row],[UnitPrice]]</f>
        <v>1704.25</v>
      </c>
    </row>
    <row r="288" spans="1:10" x14ac:dyDescent="0.25">
      <c r="A288" s="2" t="s">
        <v>444</v>
      </c>
      <c r="B288" s="3">
        <v>45389</v>
      </c>
      <c r="C288" s="2" t="s">
        <v>40</v>
      </c>
      <c r="D288" s="2" t="s">
        <v>165</v>
      </c>
      <c r="E288" s="2">
        <v>5</v>
      </c>
      <c r="F288" s="10">
        <v>1309.7</v>
      </c>
      <c r="G288" s="2" t="str">
        <f>_xlfn.XLOOKUP($D$1:$D$361,Products!$A$1:$A$41,Products!$C$1:$C$41)</f>
        <v>Electronics</v>
      </c>
      <c r="H288" s="2">
        <f>_xlfn.XLOOKUP(Sales!D:D,Products!A:A,Products!D:D)</f>
        <v>261.94</v>
      </c>
      <c r="I288" s="2" t="str">
        <f>_xlfn.XLOOKUP(Table1[[#This Row],[CustomerID]],Customer_info!A:A,Customer_info!D:D)</f>
        <v>United Kingdom</v>
      </c>
      <c r="J288" s="13">
        <f>Table1[[#This Row],[Quantity]]*Table1[[#This Row],[UnitPrice]]</f>
        <v>1309.7</v>
      </c>
    </row>
    <row r="289" spans="1:10" x14ac:dyDescent="0.25">
      <c r="A289" s="2" t="s">
        <v>445</v>
      </c>
      <c r="B289" s="3">
        <v>45405</v>
      </c>
      <c r="C289" s="2" t="s">
        <v>51</v>
      </c>
      <c r="D289" s="2" t="s">
        <v>49</v>
      </c>
      <c r="E289" s="2">
        <v>4</v>
      </c>
      <c r="F289" s="10">
        <v>1175.2</v>
      </c>
      <c r="G289" s="2" t="str">
        <f>_xlfn.XLOOKUP($D$1:$D$361,Products!$A$1:$A$41,Products!$C$1:$C$41)</f>
        <v>Electronics</v>
      </c>
      <c r="H289" s="2">
        <f>_xlfn.XLOOKUP(Sales!D:D,Products!A:A,Products!D:D)</f>
        <v>293.8</v>
      </c>
      <c r="I289" s="2" t="str">
        <f>_xlfn.XLOOKUP(Table1[[#This Row],[CustomerID]],Customer_info!A:A,Customer_info!D:D)</f>
        <v>United States</v>
      </c>
      <c r="J289" s="13">
        <f>Table1[[#This Row],[Quantity]]*Table1[[#This Row],[UnitPrice]]</f>
        <v>1175.2</v>
      </c>
    </row>
    <row r="290" spans="1:10" x14ac:dyDescent="0.25">
      <c r="A290" s="2" t="s">
        <v>446</v>
      </c>
      <c r="B290" s="3">
        <v>45442</v>
      </c>
      <c r="C290" s="2" t="s">
        <v>37</v>
      </c>
      <c r="D290" s="2" t="s">
        <v>38</v>
      </c>
      <c r="E290" s="2">
        <v>3</v>
      </c>
      <c r="F290" s="10">
        <v>1002.96</v>
      </c>
      <c r="G290" s="2" t="str">
        <f>_xlfn.XLOOKUP($D$1:$D$361,Products!$A$1:$A$41,Products!$C$1:$C$41)</f>
        <v>Sports</v>
      </c>
      <c r="H290" s="2">
        <f>_xlfn.XLOOKUP(Sales!D:D,Products!A:A,Products!D:D)</f>
        <v>334.32</v>
      </c>
      <c r="I290" s="2" t="str">
        <f>_xlfn.XLOOKUP(Table1[[#This Row],[CustomerID]],Customer_info!A:A,Customer_info!D:D)</f>
        <v>United States</v>
      </c>
      <c r="J290" s="13">
        <f>Table1[[#This Row],[Quantity]]*Table1[[#This Row],[UnitPrice]]</f>
        <v>1002.96</v>
      </c>
    </row>
    <row r="291" spans="1:10" x14ac:dyDescent="0.25">
      <c r="A291" s="2" t="s">
        <v>447</v>
      </c>
      <c r="B291" s="3">
        <v>45370</v>
      </c>
      <c r="C291" s="2" t="s">
        <v>243</v>
      </c>
      <c r="D291" s="2" t="s">
        <v>68</v>
      </c>
      <c r="E291" s="2">
        <v>4</v>
      </c>
      <c r="F291" s="10">
        <v>1609.16</v>
      </c>
      <c r="G291" s="2" t="str">
        <f>_xlfn.XLOOKUP($D$1:$D$361,Products!$A$1:$A$41,Products!$C$1:$C$41)</f>
        <v>Home</v>
      </c>
      <c r="H291" s="2">
        <f>_xlfn.XLOOKUP(Sales!D:D,Products!A:A,Products!D:D)</f>
        <v>402.29</v>
      </c>
      <c r="I291" s="2" t="str">
        <f>_xlfn.XLOOKUP(Table1[[#This Row],[CustomerID]],Customer_info!A:A,Customer_info!D:D)</f>
        <v>India</v>
      </c>
      <c r="J291" s="13">
        <f>Table1[[#This Row],[Quantity]]*Table1[[#This Row],[UnitPrice]]</f>
        <v>1609.16</v>
      </c>
    </row>
    <row r="292" spans="1:10" x14ac:dyDescent="0.25">
      <c r="A292" s="2" t="s">
        <v>448</v>
      </c>
      <c r="B292" s="3">
        <v>45450</v>
      </c>
      <c r="C292" s="2" t="s">
        <v>188</v>
      </c>
      <c r="D292" s="2" t="s">
        <v>124</v>
      </c>
      <c r="E292" s="2">
        <v>5</v>
      </c>
      <c r="F292" s="10">
        <v>198.5</v>
      </c>
      <c r="G292" s="2" t="str">
        <f>_xlfn.XLOOKUP($D$1:$D$361,Products!$A$1:$A$41,Products!$C$1:$C$41)</f>
        <v>Electronics</v>
      </c>
      <c r="H292" s="2">
        <f>_xlfn.XLOOKUP(Sales!D:D,Products!A:A,Products!D:D)</f>
        <v>39.700000000000003</v>
      </c>
      <c r="I292" s="2" t="str">
        <f>_xlfn.XLOOKUP(Table1[[#This Row],[CustomerID]],Customer_info!A:A,Customer_info!D:D)</f>
        <v>United Kingdom</v>
      </c>
      <c r="J292" s="13">
        <f>Table1[[#This Row],[Quantity]]*Table1[[#This Row],[UnitPrice]]</f>
        <v>198.5</v>
      </c>
    </row>
    <row r="293" spans="1:10" x14ac:dyDescent="0.25">
      <c r="A293" s="2" t="s">
        <v>449</v>
      </c>
      <c r="B293" s="3">
        <v>45448</v>
      </c>
      <c r="C293" s="2" t="s">
        <v>176</v>
      </c>
      <c r="D293" s="2" t="s">
        <v>148</v>
      </c>
      <c r="E293" s="2">
        <v>1</v>
      </c>
      <c r="F293" s="10">
        <v>339.95</v>
      </c>
      <c r="G293" s="2" t="str">
        <f>_xlfn.XLOOKUP($D$1:$D$361,Products!$A$1:$A$41,Products!$C$1:$C$41)</f>
        <v>Electronics</v>
      </c>
      <c r="H293" s="2">
        <f>_xlfn.XLOOKUP(Sales!D:D,Products!A:A,Products!D:D)</f>
        <v>339.95</v>
      </c>
      <c r="I293" s="2" t="str">
        <f>_xlfn.XLOOKUP(Table1[[#This Row],[CustomerID]],Customer_info!A:A,Customer_info!D:D)</f>
        <v>United Kingdom</v>
      </c>
      <c r="J293" s="13">
        <f>Table1[[#This Row],[Quantity]]*Table1[[#This Row],[UnitPrice]]</f>
        <v>339.95</v>
      </c>
    </row>
    <row r="294" spans="1:10" x14ac:dyDescent="0.25">
      <c r="A294" s="2" t="s">
        <v>450</v>
      </c>
      <c r="B294" s="3">
        <v>45345</v>
      </c>
      <c r="C294" s="2" t="s">
        <v>451</v>
      </c>
      <c r="D294" s="2" t="s">
        <v>28</v>
      </c>
      <c r="E294" s="2">
        <v>1</v>
      </c>
      <c r="F294" s="10">
        <v>452.2</v>
      </c>
      <c r="G294" s="2" t="str">
        <f>_xlfn.XLOOKUP($D$1:$D$361,Products!$A$1:$A$41,Products!$C$1:$C$41)</f>
        <v>Beauty</v>
      </c>
      <c r="H294" s="2">
        <f>_xlfn.XLOOKUP(Sales!D:D,Products!A:A,Products!D:D)</f>
        <v>452.2</v>
      </c>
      <c r="I294" s="2" t="str">
        <f>_xlfn.XLOOKUP(Table1[[#This Row],[CustomerID]],Customer_info!A:A,Customer_info!D:D)</f>
        <v>United Kingdom</v>
      </c>
      <c r="J294" s="13">
        <f>Table1[[#This Row],[Quantity]]*Table1[[#This Row],[UnitPrice]]</f>
        <v>452.2</v>
      </c>
    </row>
    <row r="295" spans="1:10" x14ac:dyDescent="0.25">
      <c r="A295" s="2" t="s">
        <v>452</v>
      </c>
      <c r="B295" s="3">
        <v>45359</v>
      </c>
      <c r="C295" s="2" t="s">
        <v>307</v>
      </c>
      <c r="D295" s="2" t="s">
        <v>11</v>
      </c>
      <c r="E295" s="2">
        <v>2</v>
      </c>
      <c r="F295" s="10">
        <v>79.739999999999995</v>
      </c>
      <c r="G295" s="2" t="str">
        <f>_xlfn.XLOOKUP($D$1:$D$361,Products!$A$1:$A$41,Products!$C$1:$C$41)</f>
        <v>Sports</v>
      </c>
      <c r="H295" s="2">
        <f>_xlfn.XLOOKUP(Sales!D:D,Products!A:A,Products!D:D)</f>
        <v>39.869999999999997</v>
      </c>
      <c r="I295" s="2" t="str">
        <f>_xlfn.XLOOKUP(Table1[[#This Row],[CustomerID]],Customer_info!A:A,Customer_info!D:D)</f>
        <v>Canada</v>
      </c>
      <c r="J295" s="13">
        <f>Table1[[#This Row],[Quantity]]*Table1[[#This Row],[UnitPrice]]</f>
        <v>79.739999999999995</v>
      </c>
    </row>
    <row r="296" spans="1:10" x14ac:dyDescent="0.25">
      <c r="A296" s="2" t="s">
        <v>453</v>
      </c>
      <c r="B296" s="3">
        <v>45332</v>
      </c>
      <c r="C296" s="2" t="s">
        <v>78</v>
      </c>
      <c r="D296" s="2" t="s">
        <v>146</v>
      </c>
      <c r="E296" s="2">
        <v>1</v>
      </c>
      <c r="F296" s="10">
        <v>332.9</v>
      </c>
      <c r="G296" s="2" t="str">
        <f>_xlfn.XLOOKUP($D$1:$D$361,Products!$A$1:$A$41,Products!$C$1:$C$41)</f>
        <v>Electronics</v>
      </c>
      <c r="H296" s="2">
        <f>_xlfn.XLOOKUP(Sales!D:D,Products!A:A,Products!D:D)</f>
        <v>332.9</v>
      </c>
      <c r="I296" s="2" t="str">
        <f>_xlfn.XLOOKUP(Table1[[#This Row],[CustomerID]],Customer_info!A:A,Customer_info!D:D)</f>
        <v>United States</v>
      </c>
      <c r="J296" s="13">
        <f>Table1[[#This Row],[Quantity]]*Table1[[#This Row],[UnitPrice]]</f>
        <v>332.9</v>
      </c>
    </row>
    <row r="297" spans="1:10" x14ac:dyDescent="0.25">
      <c r="A297" s="2" t="s">
        <v>454</v>
      </c>
      <c r="B297" s="3">
        <v>45336</v>
      </c>
      <c r="C297" s="2" t="s">
        <v>235</v>
      </c>
      <c r="D297" s="2" t="s">
        <v>160</v>
      </c>
      <c r="E297" s="2">
        <v>2</v>
      </c>
      <c r="F297" s="10">
        <v>87.16</v>
      </c>
      <c r="G297" s="2" t="str">
        <f>_xlfn.XLOOKUP($D$1:$D$361,Products!$A$1:$A$41,Products!$C$1:$C$41)</f>
        <v>Clothing</v>
      </c>
      <c r="H297" s="2">
        <f>_xlfn.XLOOKUP(Sales!D:D,Products!A:A,Products!D:D)</f>
        <v>43.58</v>
      </c>
      <c r="I297" s="2" t="str">
        <f>_xlfn.XLOOKUP(Table1[[#This Row],[CustomerID]],Customer_info!A:A,Customer_info!D:D)</f>
        <v>United States</v>
      </c>
      <c r="J297" s="13">
        <f>Table1[[#This Row],[Quantity]]*Table1[[#This Row],[UnitPrice]]</f>
        <v>87.16</v>
      </c>
    </row>
    <row r="298" spans="1:10" x14ac:dyDescent="0.25">
      <c r="A298" s="2" t="s">
        <v>455</v>
      </c>
      <c r="B298" s="3">
        <v>45311</v>
      </c>
      <c r="C298" s="2" t="s">
        <v>323</v>
      </c>
      <c r="D298" s="2" t="s">
        <v>49</v>
      </c>
      <c r="E298" s="2">
        <v>5</v>
      </c>
      <c r="F298" s="10">
        <v>1469</v>
      </c>
      <c r="G298" s="2" t="str">
        <f>_xlfn.XLOOKUP($D$1:$D$361,Products!$A$1:$A$41,Products!$C$1:$C$41)</f>
        <v>Electronics</v>
      </c>
      <c r="H298" s="2">
        <f>_xlfn.XLOOKUP(Sales!D:D,Products!A:A,Products!D:D)</f>
        <v>293.8</v>
      </c>
      <c r="I298" s="2" t="str">
        <f>_xlfn.XLOOKUP(Table1[[#This Row],[CustomerID]],Customer_info!A:A,Customer_info!D:D)</f>
        <v>United States</v>
      </c>
      <c r="J298" s="13">
        <f>Table1[[#This Row],[Quantity]]*Table1[[#This Row],[UnitPrice]]</f>
        <v>1469</v>
      </c>
    </row>
    <row r="299" spans="1:10" x14ac:dyDescent="0.25">
      <c r="A299" s="2" t="s">
        <v>456</v>
      </c>
      <c r="B299" s="3">
        <v>45292</v>
      </c>
      <c r="C299" s="2" t="s">
        <v>211</v>
      </c>
      <c r="D299" s="2" t="s">
        <v>28</v>
      </c>
      <c r="E299" s="2">
        <v>2</v>
      </c>
      <c r="F299" s="10">
        <v>904.4</v>
      </c>
      <c r="G299" s="2" t="str">
        <f>_xlfn.XLOOKUP($D$1:$D$361,Products!$A$1:$A$41,Products!$C$1:$C$41)</f>
        <v>Beauty</v>
      </c>
      <c r="H299" s="2">
        <f>_xlfn.XLOOKUP(Sales!D:D,Products!A:A,Products!D:D)</f>
        <v>452.2</v>
      </c>
      <c r="I299" s="2" t="str">
        <f>_xlfn.XLOOKUP(Table1[[#This Row],[CustomerID]],Customer_info!A:A,Customer_info!D:D)</f>
        <v>United States</v>
      </c>
      <c r="J299" s="13">
        <f>Table1[[#This Row],[Quantity]]*Table1[[#This Row],[UnitPrice]]</f>
        <v>904.4</v>
      </c>
    </row>
    <row r="300" spans="1:10" x14ac:dyDescent="0.25">
      <c r="A300" s="2" t="s">
        <v>457</v>
      </c>
      <c r="B300" s="3">
        <v>45407</v>
      </c>
      <c r="C300" s="2" t="s">
        <v>135</v>
      </c>
      <c r="D300" s="2" t="s">
        <v>103</v>
      </c>
      <c r="E300" s="2">
        <v>4</v>
      </c>
      <c r="F300" s="10">
        <v>559.79999999999995</v>
      </c>
      <c r="G300" s="2" t="str">
        <f>_xlfn.XLOOKUP($D$1:$D$361,Products!$A$1:$A$41,Products!$C$1:$C$41)</f>
        <v>Beauty</v>
      </c>
      <c r="H300" s="2">
        <f>_xlfn.XLOOKUP(Sales!D:D,Products!A:A,Products!D:D)</f>
        <v>139.94999999999999</v>
      </c>
      <c r="I300" s="2" t="str">
        <f>_xlfn.XLOOKUP(Table1[[#This Row],[CustomerID]],Customer_info!A:A,Customer_info!D:D)</f>
        <v>India</v>
      </c>
      <c r="J300" s="13">
        <f>Table1[[#This Row],[Quantity]]*Table1[[#This Row],[UnitPrice]]</f>
        <v>559.79999999999995</v>
      </c>
    </row>
    <row r="301" spans="1:10" x14ac:dyDescent="0.25">
      <c r="A301" s="2" t="s">
        <v>458</v>
      </c>
      <c r="B301" s="3">
        <v>45412</v>
      </c>
      <c r="C301" s="2" t="s">
        <v>48</v>
      </c>
      <c r="D301" s="2" t="s">
        <v>14</v>
      </c>
      <c r="E301" s="2">
        <v>5</v>
      </c>
      <c r="F301" s="10">
        <v>1183.45</v>
      </c>
      <c r="G301" s="2" t="str">
        <f>_xlfn.XLOOKUP($D$1:$D$361,Products!$A$1:$A$41,Products!$C$1:$C$41)</f>
        <v>Home</v>
      </c>
      <c r="H301" s="2">
        <f>_xlfn.XLOOKUP(Sales!D:D,Products!A:A,Products!D:D)</f>
        <v>236.69</v>
      </c>
      <c r="I301" s="2" t="str">
        <f>_xlfn.XLOOKUP(Table1[[#This Row],[CustomerID]],Customer_info!A:A,Customer_info!D:D)</f>
        <v>Canada</v>
      </c>
      <c r="J301" s="13">
        <f>Table1[[#This Row],[Quantity]]*Table1[[#This Row],[UnitPrice]]</f>
        <v>1183.45</v>
      </c>
    </row>
    <row r="302" spans="1:10" x14ac:dyDescent="0.25">
      <c r="A302" s="2" t="s">
        <v>459</v>
      </c>
      <c r="B302" s="3">
        <v>45300</v>
      </c>
      <c r="C302" s="2" t="s">
        <v>16</v>
      </c>
      <c r="D302" s="2" t="s">
        <v>35</v>
      </c>
      <c r="E302" s="2">
        <v>3</v>
      </c>
      <c r="F302" s="10">
        <v>877.02</v>
      </c>
      <c r="G302" s="2" t="str">
        <f>_xlfn.XLOOKUP($D$1:$D$361,Products!$A$1:$A$41,Products!$C$1:$C$41)</f>
        <v>Sports</v>
      </c>
      <c r="H302" s="2">
        <f>_xlfn.XLOOKUP(Sales!D:D,Products!A:A,Products!D:D)</f>
        <v>292.33999999999997</v>
      </c>
      <c r="I302" s="2" t="str">
        <f>_xlfn.XLOOKUP(Table1[[#This Row],[CustomerID]],Customer_info!A:A,Customer_info!D:D)</f>
        <v>Canada</v>
      </c>
      <c r="J302" s="13">
        <f>Table1[[#This Row],[Quantity]]*Table1[[#This Row],[UnitPrice]]</f>
        <v>877.02</v>
      </c>
    </row>
    <row r="303" spans="1:10" x14ac:dyDescent="0.25">
      <c r="A303" s="2" t="s">
        <v>460</v>
      </c>
      <c r="B303" s="3">
        <v>45365</v>
      </c>
      <c r="C303" s="2" t="s">
        <v>229</v>
      </c>
      <c r="D303" s="2" t="s">
        <v>225</v>
      </c>
      <c r="E303" s="2">
        <v>2</v>
      </c>
      <c r="F303" s="10">
        <v>927.84</v>
      </c>
      <c r="G303" s="2" t="str">
        <f>_xlfn.XLOOKUP($D$1:$D$361,Products!$A$1:$A$41,Products!$C$1:$C$41)</f>
        <v>Electronics</v>
      </c>
      <c r="H303" s="2">
        <f>_xlfn.XLOOKUP(Sales!D:D,Products!A:A,Products!D:D)</f>
        <v>463.92</v>
      </c>
      <c r="I303" s="2" t="str">
        <f>_xlfn.XLOOKUP(Table1[[#This Row],[CustomerID]],Customer_info!A:A,Customer_info!D:D)</f>
        <v>United Kingdom</v>
      </c>
      <c r="J303" s="13">
        <f>Table1[[#This Row],[Quantity]]*Table1[[#This Row],[UnitPrice]]</f>
        <v>927.84</v>
      </c>
    </row>
    <row r="304" spans="1:10" x14ac:dyDescent="0.25">
      <c r="A304" s="2" t="s">
        <v>461</v>
      </c>
      <c r="B304" s="3">
        <v>45471</v>
      </c>
      <c r="C304" s="2" t="s">
        <v>62</v>
      </c>
      <c r="D304" s="2" t="s">
        <v>146</v>
      </c>
      <c r="E304" s="2">
        <v>3</v>
      </c>
      <c r="F304" s="10">
        <v>998.7</v>
      </c>
      <c r="G304" s="2" t="str">
        <f>_xlfn.XLOOKUP($D$1:$D$361,Products!$A$1:$A$41,Products!$C$1:$C$41)</f>
        <v>Electronics</v>
      </c>
      <c r="H304" s="2">
        <f>_xlfn.XLOOKUP(Sales!D:D,Products!A:A,Products!D:D)</f>
        <v>332.9</v>
      </c>
      <c r="I304" s="2" t="str">
        <f>_xlfn.XLOOKUP(Table1[[#This Row],[CustomerID]],Customer_info!A:A,Customer_info!D:D)</f>
        <v>Canada</v>
      </c>
      <c r="J304" s="13">
        <f>Table1[[#This Row],[Quantity]]*Table1[[#This Row],[UnitPrice]]</f>
        <v>998.69999999999993</v>
      </c>
    </row>
    <row r="305" spans="1:10" x14ac:dyDescent="0.25">
      <c r="A305" s="2" t="s">
        <v>462</v>
      </c>
      <c r="B305" s="3">
        <v>45310</v>
      </c>
      <c r="C305" s="2" t="s">
        <v>198</v>
      </c>
      <c r="D305" s="2" t="s">
        <v>114</v>
      </c>
      <c r="E305" s="2">
        <v>4</v>
      </c>
      <c r="F305" s="10">
        <v>908.52</v>
      </c>
      <c r="G305" s="2" t="str">
        <f>_xlfn.XLOOKUP($D$1:$D$361,Products!$A$1:$A$41,Products!$C$1:$C$41)</f>
        <v>Electronics</v>
      </c>
      <c r="H305" s="2">
        <f>_xlfn.XLOOKUP(Sales!D:D,Products!A:A,Products!D:D)</f>
        <v>227.13</v>
      </c>
      <c r="I305" s="2" t="str">
        <f>_xlfn.XLOOKUP(Table1[[#This Row],[CustomerID]],Customer_info!A:A,Customer_info!D:D)</f>
        <v>United Kingdom</v>
      </c>
      <c r="J305" s="13">
        <f>Table1[[#This Row],[Quantity]]*Table1[[#This Row],[UnitPrice]]</f>
        <v>908.52</v>
      </c>
    </row>
    <row r="306" spans="1:10" x14ac:dyDescent="0.25">
      <c r="A306" s="2" t="s">
        <v>463</v>
      </c>
      <c r="B306" s="3">
        <v>45359</v>
      </c>
      <c r="C306" s="2" t="s">
        <v>396</v>
      </c>
      <c r="D306" s="2" t="s">
        <v>26</v>
      </c>
      <c r="E306" s="2">
        <v>2</v>
      </c>
      <c r="F306" s="10">
        <v>299.54000000000002</v>
      </c>
      <c r="G306" s="2" t="str">
        <f>_xlfn.XLOOKUP($D$1:$D$361,Products!$A$1:$A$41,Products!$C$1:$C$41)</f>
        <v>Beauty</v>
      </c>
      <c r="H306" s="2">
        <f>_xlfn.XLOOKUP(Sales!D:D,Products!A:A,Products!D:D)</f>
        <v>149.77000000000001</v>
      </c>
      <c r="I306" s="2" t="str">
        <f>_xlfn.XLOOKUP(Table1[[#This Row],[CustomerID]],Customer_info!A:A,Customer_info!D:D)</f>
        <v>United States</v>
      </c>
      <c r="J306" s="13">
        <f>Table1[[#This Row],[Quantity]]*Table1[[#This Row],[UnitPrice]]</f>
        <v>299.54000000000002</v>
      </c>
    </row>
    <row r="307" spans="1:10" x14ac:dyDescent="0.25">
      <c r="A307" s="2" t="s">
        <v>464</v>
      </c>
      <c r="B307" s="3">
        <v>45461</v>
      </c>
      <c r="C307" s="2" t="s">
        <v>442</v>
      </c>
      <c r="D307" s="2" t="s">
        <v>60</v>
      </c>
      <c r="E307" s="2">
        <v>5</v>
      </c>
      <c r="F307" s="10">
        <v>457.45</v>
      </c>
      <c r="G307" s="2" t="str">
        <f>_xlfn.XLOOKUP($D$1:$D$361,Products!$A$1:$A$41,Products!$C$1:$C$41)</f>
        <v>Clothing</v>
      </c>
      <c r="H307" s="2">
        <f>_xlfn.XLOOKUP(Sales!D:D,Products!A:A,Products!D:D)</f>
        <v>91.49</v>
      </c>
      <c r="I307" s="2" t="str">
        <f>_xlfn.XLOOKUP(Table1[[#This Row],[CustomerID]],Customer_info!A:A,Customer_info!D:D)</f>
        <v>United Kingdom</v>
      </c>
      <c r="J307" s="13">
        <f>Table1[[#This Row],[Quantity]]*Table1[[#This Row],[UnitPrice]]</f>
        <v>457.45</v>
      </c>
    </row>
    <row r="308" spans="1:10" x14ac:dyDescent="0.25">
      <c r="A308" s="2" t="s">
        <v>465</v>
      </c>
      <c r="B308" s="3">
        <v>45400</v>
      </c>
      <c r="C308" s="2" t="s">
        <v>150</v>
      </c>
      <c r="D308" s="2" t="s">
        <v>148</v>
      </c>
      <c r="E308" s="2">
        <v>2</v>
      </c>
      <c r="F308" s="10">
        <v>679.9</v>
      </c>
      <c r="G308" s="2" t="str">
        <f>_xlfn.XLOOKUP($D$1:$D$361,Products!$A$1:$A$41,Products!$C$1:$C$41)</f>
        <v>Electronics</v>
      </c>
      <c r="H308" s="2">
        <f>_xlfn.XLOOKUP(Sales!D:D,Products!A:A,Products!D:D)</f>
        <v>339.95</v>
      </c>
      <c r="I308" s="2" t="str">
        <f>_xlfn.XLOOKUP(Table1[[#This Row],[CustomerID]],Customer_info!A:A,Customer_info!D:D)</f>
        <v>United Kingdom</v>
      </c>
      <c r="J308" s="13">
        <f>Table1[[#This Row],[Quantity]]*Table1[[#This Row],[UnitPrice]]</f>
        <v>679.9</v>
      </c>
    </row>
    <row r="309" spans="1:10" x14ac:dyDescent="0.25">
      <c r="A309" s="2" t="s">
        <v>466</v>
      </c>
      <c r="B309" s="3">
        <v>45431</v>
      </c>
      <c r="C309" s="2" t="s">
        <v>467</v>
      </c>
      <c r="D309" s="2" t="s">
        <v>225</v>
      </c>
      <c r="E309" s="2">
        <v>1</v>
      </c>
      <c r="F309" s="10">
        <v>463.92</v>
      </c>
      <c r="G309" s="2" t="str">
        <f>_xlfn.XLOOKUP($D$1:$D$361,Products!$A$1:$A$41,Products!$C$1:$C$41)</f>
        <v>Electronics</v>
      </c>
      <c r="H309" s="2">
        <f>_xlfn.XLOOKUP(Sales!D:D,Products!A:A,Products!D:D)</f>
        <v>463.92</v>
      </c>
      <c r="I309" s="2" t="str">
        <f>_xlfn.XLOOKUP(Table1[[#This Row],[CustomerID]],Customer_info!A:A,Customer_info!D:D)</f>
        <v>India</v>
      </c>
      <c r="J309" s="13">
        <f>Table1[[#This Row],[Quantity]]*Table1[[#This Row],[UnitPrice]]</f>
        <v>463.92</v>
      </c>
    </row>
    <row r="310" spans="1:10" x14ac:dyDescent="0.25">
      <c r="A310" s="2" t="s">
        <v>468</v>
      </c>
      <c r="B310" s="3">
        <v>45457</v>
      </c>
      <c r="C310" s="2" t="s">
        <v>67</v>
      </c>
      <c r="D310" s="2" t="s">
        <v>114</v>
      </c>
      <c r="E310" s="2">
        <v>2</v>
      </c>
      <c r="F310" s="10">
        <v>454.26</v>
      </c>
      <c r="G310" s="2" t="str">
        <f>_xlfn.XLOOKUP($D$1:$D$361,Products!$A$1:$A$41,Products!$C$1:$C$41)</f>
        <v>Electronics</v>
      </c>
      <c r="H310" s="2">
        <f>_xlfn.XLOOKUP(Sales!D:D,Products!A:A,Products!D:D)</f>
        <v>227.13</v>
      </c>
      <c r="I310" s="2" t="str">
        <f>_xlfn.XLOOKUP(Table1[[#This Row],[CustomerID]],Customer_info!A:A,Customer_info!D:D)</f>
        <v>Canada</v>
      </c>
      <c r="J310" s="13">
        <f>Table1[[#This Row],[Quantity]]*Table1[[#This Row],[UnitPrice]]</f>
        <v>454.26</v>
      </c>
    </row>
    <row r="311" spans="1:10" x14ac:dyDescent="0.25">
      <c r="A311" s="2" t="s">
        <v>469</v>
      </c>
      <c r="B311" s="3">
        <v>45360</v>
      </c>
      <c r="C311" s="2" t="s">
        <v>62</v>
      </c>
      <c r="D311" s="2" t="s">
        <v>72</v>
      </c>
      <c r="E311" s="2">
        <v>2</v>
      </c>
      <c r="F311" s="10">
        <v>433.44</v>
      </c>
      <c r="G311" s="2" t="str">
        <f>_xlfn.XLOOKUP($D$1:$D$361,Products!$A$1:$A$41,Products!$C$1:$C$41)</f>
        <v>Clothing</v>
      </c>
      <c r="H311" s="2">
        <f>_xlfn.XLOOKUP(Sales!D:D,Products!A:A,Products!D:D)</f>
        <v>216.72</v>
      </c>
      <c r="I311" s="2" t="str">
        <f>_xlfn.XLOOKUP(Table1[[#This Row],[CustomerID]],Customer_info!A:A,Customer_info!D:D)</f>
        <v>Canada</v>
      </c>
      <c r="J311" s="13">
        <f>Table1[[#This Row],[Quantity]]*Table1[[#This Row],[UnitPrice]]</f>
        <v>433.44</v>
      </c>
    </row>
    <row r="312" spans="1:10" x14ac:dyDescent="0.25">
      <c r="A312" s="2" t="s">
        <v>470</v>
      </c>
      <c r="B312" s="3">
        <v>45310</v>
      </c>
      <c r="C312" s="2" t="s">
        <v>209</v>
      </c>
      <c r="D312" s="2" t="s">
        <v>114</v>
      </c>
      <c r="E312" s="2">
        <v>2</v>
      </c>
      <c r="F312" s="10">
        <v>454.26</v>
      </c>
      <c r="G312" s="2" t="str">
        <f>_xlfn.XLOOKUP($D$1:$D$361,Products!$A$1:$A$41,Products!$C$1:$C$41)</f>
        <v>Electronics</v>
      </c>
      <c r="H312" s="2">
        <f>_xlfn.XLOOKUP(Sales!D:D,Products!A:A,Products!D:D)</f>
        <v>227.13</v>
      </c>
      <c r="I312" s="2" t="str">
        <f>_xlfn.XLOOKUP(Table1[[#This Row],[CustomerID]],Customer_info!A:A,Customer_info!D:D)</f>
        <v>India</v>
      </c>
      <c r="J312" s="13">
        <f>Table1[[#This Row],[Quantity]]*Table1[[#This Row],[UnitPrice]]</f>
        <v>454.26</v>
      </c>
    </row>
    <row r="313" spans="1:10" x14ac:dyDescent="0.25">
      <c r="A313" s="2" t="s">
        <v>471</v>
      </c>
      <c r="B313" s="3">
        <v>45334</v>
      </c>
      <c r="C313" s="2" t="s">
        <v>396</v>
      </c>
      <c r="D313" s="2" t="s">
        <v>60</v>
      </c>
      <c r="E313" s="2">
        <v>1</v>
      </c>
      <c r="F313" s="10">
        <v>91.49</v>
      </c>
      <c r="G313" s="2" t="str">
        <f>_xlfn.XLOOKUP($D$1:$D$361,Products!$A$1:$A$41,Products!$C$1:$C$41)</f>
        <v>Clothing</v>
      </c>
      <c r="H313" s="2">
        <f>_xlfn.XLOOKUP(Sales!D:D,Products!A:A,Products!D:D)</f>
        <v>91.49</v>
      </c>
      <c r="I313" s="2" t="str">
        <f>_xlfn.XLOOKUP(Table1[[#This Row],[CustomerID]],Customer_info!A:A,Customer_info!D:D)</f>
        <v>United States</v>
      </c>
      <c r="J313" s="13">
        <f>Table1[[#This Row],[Quantity]]*Table1[[#This Row],[UnitPrice]]</f>
        <v>91.49</v>
      </c>
    </row>
    <row r="314" spans="1:10" x14ac:dyDescent="0.25">
      <c r="A314" s="2" t="s">
        <v>472</v>
      </c>
      <c r="B314" s="3">
        <v>45444</v>
      </c>
      <c r="C314" s="2" t="s">
        <v>247</v>
      </c>
      <c r="D314" s="2" t="s">
        <v>160</v>
      </c>
      <c r="E314" s="2">
        <v>3</v>
      </c>
      <c r="F314" s="10">
        <v>130.74</v>
      </c>
      <c r="G314" s="2" t="str">
        <f>_xlfn.XLOOKUP($D$1:$D$361,Products!$A$1:$A$41,Products!$C$1:$C$41)</f>
        <v>Clothing</v>
      </c>
      <c r="H314" s="2">
        <f>_xlfn.XLOOKUP(Sales!D:D,Products!A:A,Products!D:D)</f>
        <v>43.58</v>
      </c>
      <c r="I314" s="2" t="str">
        <f>_xlfn.XLOOKUP(Table1[[#This Row],[CustomerID]],Customer_info!A:A,Customer_info!D:D)</f>
        <v>United States</v>
      </c>
      <c r="J314" s="13">
        <f>Table1[[#This Row],[Quantity]]*Table1[[#This Row],[UnitPrice]]</f>
        <v>130.74</v>
      </c>
    </row>
    <row r="315" spans="1:10" x14ac:dyDescent="0.25">
      <c r="A315" s="2" t="s">
        <v>473</v>
      </c>
      <c r="B315" s="3">
        <v>45365</v>
      </c>
      <c r="C315" s="2" t="s">
        <v>126</v>
      </c>
      <c r="D315" s="2" t="s">
        <v>132</v>
      </c>
      <c r="E315" s="2">
        <v>5</v>
      </c>
      <c r="F315" s="10">
        <v>1689</v>
      </c>
      <c r="G315" s="2" t="str">
        <f>_xlfn.XLOOKUP($D$1:$D$361,Products!$A$1:$A$41,Products!$C$1:$C$41)</f>
        <v>Home</v>
      </c>
      <c r="H315" s="2">
        <f>_xlfn.XLOOKUP(Sales!D:D,Products!A:A,Products!D:D)</f>
        <v>337.8</v>
      </c>
      <c r="I315" s="2" t="str">
        <f>_xlfn.XLOOKUP(Table1[[#This Row],[CustomerID]],Customer_info!A:A,Customer_info!D:D)</f>
        <v>India</v>
      </c>
      <c r="J315" s="13">
        <f>Table1[[#This Row],[Quantity]]*Table1[[#This Row],[UnitPrice]]</f>
        <v>1689</v>
      </c>
    </row>
    <row r="316" spans="1:10" x14ac:dyDescent="0.25">
      <c r="A316" s="2" t="s">
        <v>474</v>
      </c>
      <c r="B316" s="3">
        <v>45323</v>
      </c>
      <c r="C316" s="2" t="s">
        <v>40</v>
      </c>
      <c r="D316" s="2" t="s">
        <v>8</v>
      </c>
      <c r="E316" s="2">
        <v>4</v>
      </c>
      <c r="F316" s="10">
        <v>1678.6</v>
      </c>
      <c r="G316" s="2" t="str">
        <f>_xlfn.XLOOKUP($D$1:$D$361,Products!$A$1:$A$41,Products!$C$1:$C$41)</f>
        <v>Sports</v>
      </c>
      <c r="H316" s="2">
        <f>_xlfn.XLOOKUP(Sales!D:D,Products!A:A,Products!D:D)</f>
        <v>419.65</v>
      </c>
      <c r="I316" s="2" t="str">
        <f>_xlfn.XLOOKUP(Table1[[#This Row],[CustomerID]],Customer_info!A:A,Customer_info!D:D)</f>
        <v>United Kingdom</v>
      </c>
      <c r="J316" s="13">
        <f>Table1[[#This Row],[Quantity]]*Table1[[#This Row],[UnitPrice]]</f>
        <v>1678.6</v>
      </c>
    </row>
    <row r="317" spans="1:10" x14ac:dyDescent="0.25">
      <c r="A317" s="2" t="s">
        <v>475</v>
      </c>
      <c r="B317" s="3">
        <v>45468</v>
      </c>
      <c r="C317" s="2" t="s">
        <v>37</v>
      </c>
      <c r="D317" s="2" t="s">
        <v>41</v>
      </c>
      <c r="E317" s="2">
        <v>4</v>
      </c>
      <c r="F317" s="10">
        <v>152.04</v>
      </c>
      <c r="G317" s="2" t="str">
        <f>_xlfn.XLOOKUP($D$1:$D$361,Products!$A$1:$A$41,Products!$C$1:$C$41)</f>
        <v>Home</v>
      </c>
      <c r="H317" s="2">
        <f>_xlfn.XLOOKUP(Sales!D:D,Products!A:A,Products!D:D)</f>
        <v>38.01</v>
      </c>
      <c r="I317" s="2" t="str">
        <f>_xlfn.XLOOKUP(Table1[[#This Row],[CustomerID]],Customer_info!A:A,Customer_info!D:D)</f>
        <v>United States</v>
      </c>
      <c r="J317" s="13">
        <f>Table1[[#This Row],[Quantity]]*Table1[[#This Row],[UnitPrice]]</f>
        <v>152.04</v>
      </c>
    </row>
    <row r="318" spans="1:10" x14ac:dyDescent="0.25">
      <c r="A318" s="2" t="s">
        <v>476</v>
      </c>
      <c r="B318" s="3">
        <v>45471</v>
      </c>
      <c r="C318" s="2" t="s">
        <v>139</v>
      </c>
      <c r="D318" s="2" t="s">
        <v>23</v>
      </c>
      <c r="E318" s="2">
        <v>3</v>
      </c>
      <c r="F318" s="10">
        <v>309.89999999999998</v>
      </c>
      <c r="G318" s="2" t="str">
        <f>_xlfn.XLOOKUP($D$1:$D$361,Products!$A$1:$A$41,Products!$C$1:$C$41)</f>
        <v>Beauty</v>
      </c>
      <c r="H318" s="2">
        <f>_xlfn.XLOOKUP(Sales!D:D,Products!A:A,Products!D:D)</f>
        <v>103.3</v>
      </c>
      <c r="I318" s="2" t="str">
        <f>_xlfn.XLOOKUP(Table1[[#This Row],[CustomerID]],Customer_info!A:A,Customer_info!D:D)</f>
        <v>United States</v>
      </c>
      <c r="J318" s="13">
        <f>Table1[[#This Row],[Quantity]]*Table1[[#This Row],[UnitPrice]]</f>
        <v>309.89999999999998</v>
      </c>
    </row>
    <row r="319" spans="1:10" x14ac:dyDescent="0.25">
      <c r="A319" s="2" t="s">
        <v>477</v>
      </c>
      <c r="B319" s="3">
        <v>45361</v>
      </c>
      <c r="C319" s="2" t="s">
        <v>57</v>
      </c>
      <c r="D319" s="2" t="s">
        <v>124</v>
      </c>
      <c r="E319" s="2">
        <v>4</v>
      </c>
      <c r="F319" s="10">
        <v>158.80000000000001</v>
      </c>
      <c r="G319" s="2" t="str">
        <f>_xlfn.XLOOKUP($D$1:$D$361,Products!$A$1:$A$41,Products!$C$1:$C$41)</f>
        <v>Electronics</v>
      </c>
      <c r="H319" s="2">
        <f>_xlfn.XLOOKUP(Sales!D:D,Products!A:A,Products!D:D)</f>
        <v>39.700000000000003</v>
      </c>
      <c r="I319" s="2" t="str">
        <f>_xlfn.XLOOKUP(Table1[[#This Row],[CustomerID]],Customer_info!A:A,Customer_info!D:D)</f>
        <v>United Kingdom</v>
      </c>
      <c r="J319" s="13">
        <f>Table1[[#This Row],[Quantity]]*Table1[[#This Row],[UnitPrice]]</f>
        <v>158.80000000000001</v>
      </c>
    </row>
    <row r="320" spans="1:10" x14ac:dyDescent="0.25">
      <c r="A320" s="2" t="s">
        <v>478</v>
      </c>
      <c r="B320" s="3">
        <v>45430</v>
      </c>
      <c r="C320" s="2" t="s">
        <v>34</v>
      </c>
      <c r="D320" s="2" t="s">
        <v>260</v>
      </c>
      <c r="E320" s="2">
        <v>5</v>
      </c>
      <c r="F320" s="10">
        <v>978.5</v>
      </c>
      <c r="G320" s="2" t="str">
        <f>_xlfn.XLOOKUP($D$1:$D$361,Products!$A$1:$A$41,Products!$C$1:$C$41)</f>
        <v>Clothing</v>
      </c>
      <c r="H320" s="2">
        <f>_xlfn.XLOOKUP(Sales!D:D,Products!A:A,Products!D:D)</f>
        <v>195.7</v>
      </c>
      <c r="I320" s="2" t="str">
        <f>_xlfn.XLOOKUP(Table1[[#This Row],[CustomerID]],Customer_info!A:A,Customer_info!D:D)</f>
        <v>United States</v>
      </c>
      <c r="J320" s="13">
        <f>Table1[[#This Row],[Quantity]]*Table1[[#This Row],[UnitPrice]]</f>
        <v>978.5</v>
      </c>
    </row>
    <row r="321" spans="1:10" x14ac:dyDescent="0.25">
      <c r="A321" s="2" t="s">
        <v>479</v>
      </c>
      <c r="B321" s="3">
        <v>45404</v>
      </c>
      <c r="C321" s="2" t="s">
        <v>105</v>
      </c>
      <c r="D321" s="2" t="s">
        <v>196</v>
      </c>
      <c r="E321" s="2">
        <v>4</v>
      </c>
      <c r="F321" s="10">
        <v>983.48</v>
      </c>
      <c r="G321" s="2" t="str">
        <f>_xlfn.XLOOKUP($D$1:$D$361,Products!$A$1:$A$41,Products!$C$1:$C$41)</f>
        <v>Beauty</v>
      </c>
      <c r="H321" s="2">
        <f>_xlfn.XLOOKUP(Sales!D:D,Products!A:A,Products!D:D)</f>
        <v>245.87</v>
      </c>
      <c r="I321" s="2" t="str">
        <f>_xlfn.XLOOKUP(Table1[[#This Row],[CustomerID]],Customer_info!A:A,Customer_info!D:D)</f>
        <v>United Kingdom</v>
      </c>
      <c r="J321" s="13">
        <f>Table1[[#This Row],[Quantity]]*Table1[[#This Row],[UnitPrice]]</f>
        <v>983.48</v>
      </c>
    </row>
    <row r="322" spans="1:10" x14ac:dyDescent="0.25">
      <c r="A322" s="2" t="s">
        <v>480</v>
      </c>
      <c r="B322" s="3">
        <v>45445</v>
      </c>
      <c r="C322" s="2" t="s">
        <v>289</v>
      </c>
      <c r="D322" s="2" t="s">
        <v>52</v>
      </c>
      <c r="E322" s="2">
        <v>1</v>
      </c>
      <c r="F322" s="10">
        <v>85.85</v>
      </c>
      <c r="G322" s="2" t="str">
        <f>_xlfn.XLOOKUP($D$1:$D$361,Products!$A$1:$A$41,Products!$C$1:$C$41)</f>
        <v>Beauty</v>
      </c>
      <c r="H322" s="2">
        <f>_xlfn.XLOOKUP(Sales!D:D,Products!A:A,Products!D:D)</f>
        <v>85.85</v>
      </c>
      <c r="I322" s="2" t="str">
        <f>_xlfn.XLOOKUP(Table1[[#This Row],[CustomerID]],Customer_info!A:A,Customer_info!D:D)</f>
        <v>Canada</v>
      </c>
      <c r="J322" s="13">
        <f>Table1[[#This Row],[Quantity]]*Table1[[#This Row],[UnitPrice]]</f>
        <v>85.85</v>
      </c>
    </row>
    <row r="323" spans="1:10" x14ac:dyDescent="0.25">
      <c r="A323" s="2" t="s">
        <v>481</v>
      </c>
      <c r="B323" s="3">
        <v>45402</v>
      </c>
      <c r="C323" s="2" t="s">
        <v>37</v>
      </c>
      <c r="D323" s="2" t="s">
        <v>178</v>
      </c>
      <c r="E323" s="2">
        <v>1</v>
      </c>
      <c r="F323" s="10">
        <v>217.55</v>
      </c>
      <c r="G323" s="2" t="str">
        <f>_xlfn.XLOOKUP($D$1:$D$361,Products!$A$1:$A$41,Products!$C$1:$C$41)</f>
        <v>Home</v>
      </c>
      <c r="H323" s="2">
        <f>_xlfn.XLOOKUP(Sales!D:D,Products!A:A,Products!D:D)</f>
        <v>217.55</v>
      </c>
      <c r="I323" s="2" t="str">
        <f>_xlfn.XLOOKUP(Table1[[#This Row],[CustomerID]],Customer_info!A:A,Customer_info!D:D)</f>
        <v>United States</v>
      </c>
      <c r="J323" s="13">
        <f>Table1[[#This Row],[Quantity]]*Table1[[#This Row],[UnitPrice]]</f>
        <v>217.55</v>
      </c>
    </row>
    <row r="324" spans="1:10" x14ac:dyDescent="0.25">
      <c r="A324" s="2" t="s">
        <v>482</v>
      </c>
      <c r="B324" s="3">
        <v>45446</v>
      </c>
      <c r="C324" s="2" t="s">
        <v>159</v>
      </c>
      <c r="D324" s="2" t="s">
        <v>68</v>
      </c>
      <c r="E324" s="2">
        <v>3</v>
      </c>
      <c r="F324" s="10">
        <v>1206.8699999999999</v>
      </c>
      <c r="G324" s="2" t="str">
        <f>_xlfn.XLOOKUP($D$1:$D$361,Products!$A$1:$A$41,Products!$C$1:$C$41)</f>
        <v>Home</v>
      </c>
      <c r="H324" s="2">
        <f>_xlfn.XLOOKUP(Sales!D:D,Products!A:A,Products!D:D)</f>
        <v>402.29</v>
      </c>
      <c r="I324" s="2" t="str">
        <f>_xlfn.XLOOKUP(Table1[[#This Row],[CustomerID]],Customer_info!A:A,Customer_info!D:D)</f>
        <v>United States</v>
      </c>
      <c r="J324" s="13">
        <f>Table1[[#This Row],[Quantity]]*Table1[[#This Row],[UnitPrice]]</f>
        <v>1206.8700000000001</v>
      </c>
    </row>
    <row r="325" spans="1:10" x14ac:dyDescent="0.25">
      <c r="A325" s="2" t="s">
        <v>483</v>
      </c>
      <c r="B325" s="3">
        <v>45298</v>
      </c>
      <c r="C325" s="2" t="s">
        <v>180</v>
      </c>
      <c r="D325" s="2" t="s">
        <v>260</v>
      </c>
      <c r="E325" s="2">
        <v>3</v>
      </c>
      <c r="F325" s="10">
        <v>587.1</v>
      </c>
      <c r="G325" s="2" t="str">
        <f>_xlfn.XLOOKUP($D$1:$D$361,Products!$A$1:$A$41,Products!$C$1:$C$41)</f>
        <v>Clothing</v>
      </c>
      <c r="H325" s="2">
        <f>_xlfn.XLOOKUP(Sales!D:D,Products!A:A,Products!D:D)</f>
        <v>195.7</v>
      </c>
      <c r="I325" s="2" t="str">
        <f>_xlfn.XLOOKUP(Table1[[#This Row],[CustomerID]],Customer_info!A:A,Customer_info!D:D)</f>
        <v>United Kingdom</v>
      </c>
      <c r="J325" s="13">
        <f>Table1[[#This Row],[Quantity]]*Table1[[#This Row],[UnitPrice]]</f>
        <v>587.09999999999991</v>
      </c>
    </row>
    <row r="326" spans="1:10" x14ac:dyDescent="0.25">
      <c r="A326" s="2" t="s">
        <v>484</v>
      </c>
      <c r="B326" s="3">
        <v>45350</v>
      </c>
      <c r="C326" s="2" t="s">
        <v>97</v>
      </c>
      <c r="D326" s="2" t="s">
        <v>152</v>
      </c>
      <c r="E326" s="2">
        <v>1</v>
      </c>
      <c r="F326" s="10">
        <v>340.85</v>
      </c>
      <c r="G326" s="2" t="str">
        <f>_xlfn.XLOOKUP($D$1:$D$361,Products!$A$1:$A$41,Products!$C$1:$C$41)</f>
        <v>Electronics</v>
      </c>
      <c r="H326" s="2">
        <f>_xlfn.XLOOKUP(Sales!D:D,Products!A:A,Products!D:D)</f>
        <v>340.85</v>
      </c>
      <c r="I326" s="2" t="str">
        <f>_xlfn.XLOOKUP(Table1[[#This Row],[CustomerID]],Customer_info!A:A,Customer_info!D:D)</f>
        <v>United States</v>
      </c>
      <c r="J326" s="13">
        <f>Table1[[#This Row],[Quantity]]*Table1[[#This Row],[UnitPrice]]</f>
        <v>340.85</v>
      </c>
    </row>
    <row r="327" spans="1:10" x14ac:dyDescent="0.25">
      <c r="A327" s="2" t="s">
        <v>485</v>
      </c>
      <c r="B327" s="3">
        <v>45442</v>
      </c>
      <c r="C327" s="2" t="s">
        <v>264</v>
      </c>
      <c r="D327" s="2" t="s">
        <v>160</v>
      </c>
      <c r="E327" s="2">
        <v>5</v>
      </c>
      <c r="F327" s="10">
        <v>217.9</v>
      </c>
      <c r="G327" s="2" t="str">
        <f>_xlfn.XLOOKUP($D$1:$D$361,Products!$A$1:$A$41,Products!$C$1:$C$41)</f>
        <v>Clothing</v>
      </c>
      <c r="H327" s="2">
        <f>_xlfn.XLOOKUP(Sales!D:D,Products!A:A,Products!D:D)</f>
        <v>43.58</v>
      </c>
      <c r="I327" s="2" t="str">
        <f>_xlfn.XLOOKUP(Table1[[#This Row],[CustomerID]],Customer_info!A:A,Customer_info!D:D)</f>
        <v>Canada</v>
      </c>
      <c r="J327" s="13">
        <f>Table1[[#This Row],[Quantity]]*Table1[[#This Row],[UnitPrice]]</f>
        <v>217.89999999999998</v>
      </c>
    </row>
    <row r="328" spans="1:10" x14ac:dyDescent="0.25">
      <c r="A328" s="2" t="s">
        <v>486</v>
      </c>
      <c r="B328" s="3">
        <v>45464</v>
      </c>
      <c r="C328" s="2" t="s">
        <v>22</v>
      </c>
      <c r="D328" s="2" t="s">
        <v>68</v>
      </c>
      <c r="E328" s="2">
        <v>1</v>
      </c>
      <c r="F328" s="10">
        <v>402.29</v>
      </c>
      <c r="G328" s="2" t="str">
        <f>_xlfn.XLOOKUP($D$1:$D$361,Products!$A$1:$A$41,Products!$C$1:$C$41)</f>
        <v>Home</v>
      </c>
      <c r="H328" s="2">
        <f>_xlfn.XLOOKUP(Sales!D:D,Products!A:A,Products!D:D)</f>
        <v>402.29</v>
      </c>
      <c r="I328" s="2" t="str">
        <f>_xlfn.XLOOKUP(Table1[[#This Row],[CustomerID]],Customer_info!A:A,Customer_info!D:D)</f>
        <v>United States</v>
      </c>
      <c r="J328" s="13">
        <f>Table1[[#This Row],[Quantity]]*Table1[[#This Row],[UnitPrice]]</f>
        <v>402.29</v>
      </c>
    </row>
    <row r="329" spans="1:10" x14ac:dyDescent="0.25">
      <c r="A329" s="2" t="s">
        <v>487</v>
      </c>
      <c r="B329" s="3">
        <v>45439</v>
      </c>
      <c r="C329" s="2" t="s">
        <v>46</v>
      </c>
      <c r="D329" s="2" t="s">
        <v>38</v>
      </c>
      <c r="E329" s="2">
        <v>3</v>
      </c>
      <c r="F329" s="10">
        <v>1002.96</v>
      </c>
      <c r="G329" s="2" t="str">
        <f>_xlfn.XLOOKUP($D$1:$D$361,Products!$A$1:$A$41,Products!$C$1:$C$41)</f>
        <v>Sports</v>
      </c>
      <c r="H329" s="2">
        <f>_xlfn.XLOOKUP(Sales!D:D,Products!A:A,Products!D:D)</f>
        <v>334.32</v>
      </c>
      <c r="I329" s="2" t="str">
        <f>_xlfn.XLOOKUP(Table1[[#This Row],[CustomerID]],Customer_info!A:A,Customer_info!D:D)</f>
        <v>United Kingdom</v>
      </c>
      <c r="J329" s="13">
        <f>Table1[[#This Row],[Quantity]]*Table1[[#This Row],[UnitPrice]]</f>
        <v>1002.96</v>
      </c>
    </row>
    <row r="330" spans="1:10" x14ac:dyDescent="0.25">
      <c r="A330" s="2" t="s">
        <v>488</v>
      </c>
      <c r="B330" s="3">
        <v>45336</v>
      </c>
      <c r="C330" s="2" t="s">
        <v>46</v>
      </c>
      <c r="D330" s="2" t="s">
        <v>17</v>
      </c>
      <c r="E330" s="2">
        <v>1</v>
      </c>
      <c r="F330" s="10">
        <v>394.46</v>
      </c>
      <c r="G330" s="2" t="str">
        <f>_xlfn.XLOOKUP($D$1:$D$361,Products!$A$1:$A$41,Products!$C$1:$C$41)</f>
        <v>Clothing</v>
      </c>
      <c r="H330" s="2">
        <f>_xlfn.XLOOKUP(Sales!D:D,Products!A:A,Products!D:D)</f>
        <v>394.46</v>
      </c>
      <c r="I330" s="2" t="str">
        <f>_xlfn.XLOOKUP(Table1[[#This Row],[CustomerID]],Customer_info!A:A,Customer_info!D:D)</f>
        <v>United Kingdom</v>
      </c>
      <c r="J330" s="13">
        <f>Table1[[#This Row],[Quantity]]*Table1[[#This Row],[UnitPrice]]</f>
        <v>394.46</v>
      </c>
    </row>
    <row r="331" spans="1:10" x14ac:dyDescent="0.25">
      <c r="A331" s="2" t="s">
        <v>489</v>
      </c>
      <c r="B331" s="3">
        <v>45424</v>
      </c>
      <c r="C331" s="2" t="s">
        <v>176</v>
      </c>
      <c r="D331" s="2" t="s">
        <v>124</v>
      </c>
      <c r="E331" s="2">
        <v>4</v>
      </c>
      <c r="F331" s="10">
        <v>158.80000000000001</v>
      </c>
      <c r="G331" s="2" t="str">
        <f>_xlfn.XLOOKUP($D$1:$D$361,Products!$A$1:$A$41,Products!$C$1:$C$41)</f>
        <v>Electronics</v>
      </c>
      <c r="H331" s="2">
        <f>_xlfn.XLOOKUP(Sales!D:D,Products!A:A,Products!D:D)</f>
        <v>39.700000000000003</v>
      </c>
      <c r="I331" s="2" t="str">
        <f>_xlfn.XLOOKUP(Table1[[#This Row],[CustomerID]],Customer_info!A:A,Customer_info!D:D)</f>
        <v>United Kingdom</v>
      </c>
      <c r="J331" s="13">
        <f>Table1[[#This Row],[Quantity]]*Table1[[#This Row],[UnitPrice]]</f>
        <v>158.80000000000001</v>
      </c>
    </row>
    <row r="332" spans="1:10" x14ac:dyDescent="0.25">
      <c r="A332" s="2" t="s">
        <v>490</v>
      </c>
      <c r="B332" s="3">
        <v>45363</v>
      </c>
      <c r="C332" s="2" t="s">
        <v>214</v>
      </c>
      <c r="D332" s="2" t="s">
        <v>136</v>
      </c>
      <c r="E332" s="2">
        <v>4</v>
      </c>
      <c r="F332" s="10">
        <v>1724.88</v>
      </c>
      <c r="G332" s="2" t="str">
        <f>_xlfn.XLOOKUP($D$1:$D$361,Products!$A$1:$A$41,Products!$C$1:$C$41)</f>
        <v>Electronics</v>
      </c>
      <c r="H332" s="2">
        <f>_xlfn.XLOOKUP(Sales!D:D,Products!A:A,Products!D:D)</f>
        <v>431.22</v>
      </c>
      <c r="I332" s="2" t="str">
        <f>_xlfn.XLOOKUP(Table1[[#This Row],[CustomerID]],Customer_info!A:A,Customer_info!D:D)</f>
        <v>United Kingdom</v>
      </c>
      <c r="J332" s="13">
        <f>Table1[[#This Row],[Quantity]]*Table1[[#This Row],[UnitPrice]]</f>
        <v>1724.88</v>
      </c>
    </row>
    <row r="333" spans="1:10" x14ac:dyDescent="0.25">
      <c r="A333" s="2" t="s">
        <v>491</v>
      </c>
      <c r="B333" s="3">
        <v>45441</v>
      </c>
      <c r="C333" s="2" t="s">
        <v>54</v>
      </c>
      <c r="D333" s="2" t="s">
        <v>35</v>
      </c>
      <c r="E333" s="2">
        <v>2</v>
      </c>
      <c r="F333" s="10">
        <v>584.67999999999995</v>
      </c>
      <c r="G333" s="2" t="str">
        <f>_xlfn.XLOOKUP($D$1:$D$361,Products!$A$1:$A$41,Products!$C$1:$C$41)</f>
        <v>Sports</v>
      </c>
      <c r="H333" s="2">
        <f>_xlfn.XLOOKUP(Sales!D:D,Products!A:A,Products!D:D)</f>
        <v>292.33999999999997</v>
      </c>
      <c r="I333" s="2" t="str">
        <f>_xlfn.XLOOKUP(Table1[[#This Row],[CustomerID]],Customer_info!A:A,Customer_info!D:D)</f>
        <v>India</v>
      </c>
      <c r="J333" s="13">
        <f>Table1[[#This Row],[Quantity]]*Table1[[#This Row],[UnitPrice]]</f>
        <v>584.67999999999995</v>
      </c>
    </row>
    <row r="334" spans="1:10" x14ac:dyDescent="0.25">
      <c r="A334" s="2" t="s">
        <v>492</v>
      </c>
      <c r="B334" s="3">
        <v>45454</v>
      </c>
      <c r="C334" s="2" t="s">
        <v>249</v>
      </c>
      <c r="D334" s="2" t="s">
        <v>38</v>
      </c>
      <c r="E334" s="2">
        <v>4</v>
      </c>
      <c r="F334" s="10">
        <v>1337.28</v>
      </c>
      <c r="G334" s="2" t="str">
        <f>_xlfn.XLOOKUP($D$1:$D$361,Products!$A$1:$A$41,Products!$C$1:$C$41)</f>
        <v>Sports</v>
      </c>
      <c r="H334" s="2">
        <f>_xlfn.XLOOKUP(Sales!D:D,Products!A:A,Products!D:D)</f>
        <v>334.32</v>
      </c>
      <c r="I334" s="2" t="str">
        <f>_xlfn.XLOOKUP(Table1[[#This Row],[CustomerID]],Customer_info!A:A,Customer_info!D:D)</f>
        <v>Canada</v>
      </c>
      <c r="J334" s="13">
        <f>Table1[[#This Row],[Quantity]]*Table1[[#This Row],[UnitPrice]]</f>
        <v>1337.28</v>
      </c>
    </row>
    <row r="335" spans="1:10" x14ac:dyDescent="0.25">
      <c r="A335" s="2" t="s">
        <v>493</v>
      </c>
      <c r="B335" s="3">
        <v>45315</v>
      </c>
      <c r="C335" s="2" t="s">
        <v>439</v>
      </c>
      <c r="D335" s="2" t="s">
        <v>17</v>
      </c>
      <c r="E335" s="2">
        <v>4</v>
      </c>
      <c r="F335" s="10">
        <v>1577.84</v>
      </c>
      <c r="G335" s="2" t="str">
        <f>_xlfn.XLOOKUP($D$1:$D$361,Products!$A$1:$A$41,Products!$C$1:$C$41)</f>
        <v>Clothing</v>
      </c>
      <c r="H335" s="2">
        <f>_xlfn.XLOOKUP(Sales!D:D,Products!A:A,Products!D:D)</f>
        <v>394.46</v>
      </c>
      <c r="I335" s="2" t="str">
        <f>_xlfn.XLOOKUP(Table1[[#This Row],[CustomerID]],Customer_info!A:A,Customer_info!D:D)</f>
        <v>Canada</v>
      </c>
      <c r="J335" s="13">
        <f>Table1[[#This Row],[Quantity]]*Table1[[#This Row],[UnitPrice]]</f>
        <v>1577.84</v>
      </c>
    </row>
    <row r="336" spans="1:10" x14ac:dyDescent="0.25">
      <c r="A336" s="2" t="s">
        <v>494</v>
      </c>
      <c r="B336" s="3">
        <v>45381</v>
      </c>
      <c r="C336" s="2" t="s">
        <v>209</v>
      </c>
      <c r="D336" s="2" t="s">
        <v>55</v>
      </c>
      <c r="E336" s="2">
        <v>4</v>
      </c>
      <c r="F336" s="10">
        <v>522.6</v>
      </c>
      <c r="G336" s="2" t="str">
        <f>_xlfn.XLOOKUP($D$1:$D$361,Products!$A$1:$A$41,Products!$C$1:$C$41)</f>
        <v>Sports</v>
      </c>
      <c r="H336" s="2">
        <f>_xlfn.XLOOKUP(Sales!D:D,Products!A:A,Products!D:D)</f>
        <v>130.65</v>
      </c>
      <c r="I336" s="2" t="str">
        <f>_xlfn.XLOOKUP(Table1[[#This Row],[CustomerID]],Customer_info!A:A,Customer_info!D:D)</f>
        <v>India</v>
      </c>
      <c r="J336" s="13">
        <f>Table1[[#This Row],[Quantity]]*Table1[[#This Row],[UnitPrice]]</f>
        <v>522.6</v>
      </c>
    </row>
    <row r="337" spans="1:10" x14ac:dyDescent="0.25">
      <c r="A337" s="2" t="s">
        <v>495</v>
      </c>
      <c r="B337" s="3">
        <v>45377</v>
      </c>
      <c r="C337" s="2" t="s">
        <v>65</v>
      </c>
      <c r="D337" s="2" t="s">
        <v>160</v>
      </c>
      <c r="E337" s="2">
        <v>4</v>
      </c>
      <c r="F337" s="10">
        <v>174.32</v>
      </c>
      <c r="G337" s="2" t="str">
        <f>_xlfn.XLOOKUP($D$1:$D$361,Products!$A$1:$A$41,Products!$C$1:$C$41)</f>
        <v>Clothing</v>
      </c>
      <c r="H337" s="2">
        <f>_xlfn.XLOOKUP(Sales!D:D,Products!A:A,Products!D:D)</f>
        <v>43.58</v>
      </c>
      <c r="I337" s="2" t="str">
        <f>_xlfn.XLOOKUP(Table1[[#This Row],[CustomerID]],Customer_info!A:A,Customer_info!D:D)</f>
        <v>India</v>
      </c>
      <c r="J337" s="13">
        <f>Table1[[#This Row],[Quantity]]*Table1[[#This Row],[UnitPrice]]</f>
        <v>174.32</v>
      </c>
    </row>
    <row r="338" spans="1:10" x14ac:dyDescent="0.25">
      <c r="A338" s="2" t="s">
        <v>496</v>
      </c>
      <c r="B338" s="3">
        <v>45463</v>
      </c>
      <c r="C338" s="2" t="s">
        <v>295</v>
      </c>
      <c r="D338" s="2" t="s">
        <v>28</v>
      </c>
      <c r="E338" s="2">
        <v>3</v>
      </c>
      <c r="F338" s="10">
        <v>1356.6</v>
      </c>
      <c r="G338" s="2" t="str">
        <f>_xlfn.XLOOKUP($D$1:$D$361,Products!$A$1:$A$41,Products!$C$1:$C$41)</f>
        <v>Beauty</v>
      </c>
      <c r="H338" s="2">
        <f>_xlfn.XLOOKUP(Sales!D:D,Products!A:A,Products!D:D)</f>
        <v>452.2</v>
      </c>
      <c r="I338" s="2" t="str">
        <f>_xlfn.XLOOKUP(Table1[[#This Row],[CustomerID]],Customer_info!A:A,Customer_info!D:D)</f>
        <v>United States</v>
      </c>
      <c r="J338" s="13">
        <f>Table1[[#This Row],[Quantity]]*Table1[[#This Row],[UnitPrice]]</f>
        <v>1356.6</v>
      </c>
    </row>
    <row r="339" spans="1:10" x14ac:dyDescent="0.25">
      <c r="A339" s="2" t="s">
        <v>497</v>
      </c>
      <c r="B339" s="3">
        <v>45333</v>
      </c>
      <c r="C339" s="2" t="s">
        <v>62</v>
      </c>
      <c r="D339" s="2" t="s">
        <v>72</v>
      </c>
      <c r="E339" s="2">
        <v>1</v>
      </c>
      <c r="F339" s="10">
        <v>216.72</v>
      </c>
      <c r="G339" s="2" t="str">
        <f>_xlfn.XLOOKUP($D$1:$D$361,Products!$A$1:$A$41,Products!$C$1:$C$41)</f>
        <v>Clothing</v>
      </c>
      <c r="H339" s="2">
        <f>_xlfn.XLOOKUP(Sales!D:D,Products!A:A,Products!D:D)</f>
        <v>216.72</v>
      </c>
      <c r="I339" s="2" t="str">
        <f>_xlfn.XLOOKUP(Table1[[#This Row],[CustomerID]],Customer_info!A:A,Customer_info!D:D)</f>
        <v>Canada</v>
      </c>
      <c r="J339" s="13">
        <f>Table1[[#This Row],[Quantity]]*Table1[[#This Row],[UnitPrice]]</f>
        <v>216.72</v>
      </c>
    </row>
    <row r="340" spans="1:10" x14ac:dyDescent="0.25">
      <c r="A340" s="2" t="s">
        <v>498</v>
      </c>
      <c r="B340" s="3">
        <v>45397</v>
      </c>
      <c r="C340" s="2" t="s">
        <v>159</v>
      </c>
      <c r="D340" s="2" t="s">
        <v>160</v>
      </c>
      <c r="E340" s="2">
        <v>3</v>
      </c>
      <c r="F340" s="10">
        <v>130.74</v>
      </c>
      <c r="G340" s="2" t="str">
        <f>_xlfn.XLOOKUP($D$1:$D$361,Products!$A$1:$A$41,Products!$C$1:$C$41)</f>
        <v>Clothing</v>
      </c>
      <c r="H340" s="2">
        <f>_xlfn.XLOOKUP(Sales!D:D,Products!A:A,Products!D:D)</f>
        <v>43.58</v>
      </c>
      <c r="I340" s="2" t="str">
        <f>_xlfn.XLOOKUP(Table1[[#This Row],[CustomerID]],Customer_info!A:A,Customer_info!D:D)</f>
        <v>United States</v>
      </c>
      <c r="J340" s="13">
        <f>Table1[[#This Row],[Quantity]]*Table1[[#This Row],[UnitPrice]]</f>
        <v>130.74</v>
      </c>
    </row>
    <row r="341" spans="1:10" x14ac:dyDescent="0.25">
      <c r="A341" s="2" t="s">
        <v>499</v>
      </c>
      <c r="B341" s="3">
        <v>45365</v>
      </c>
      <c r="C341" s="2" t="s">
        <v>297</v>
      </c>
      <c r="D341" s="2" t="s">
        <v>35</v>
      </c>
      <c r="E341" s="2">
        <v>4</v>
      </c>
      <c r="F341" s="10">
        <v>1169.3599999999999</v>
      </c>
      <c r="G341" s="2" t="str">
        <f>_xlfn.XLOOKUP($D$1:$D$361,Products!$A$1:$A$41,Products!$C$1:$C$41)</f>
        <v>Sports</v>
      </c>
      <c r="H341" s="2">
        <f>_xlfn.XLOOKUP(Sales!D:D,Products!A:A,Products!D:D)</f>
        <v>292.33999999999997</v>
      </c>
      <c r="I341" s="2" t="str">
        <f>_xlfn.XLOOKUP(Table1[[#This Row],[CustomerID]],Customer_info!A:A,Customer_info!D:D)</f>
        <v>United Kingdom</v>
      </c>
      <c r="J341" s="13">
        <f>Table1[[#This Row],[Quantity]]*Table1[[#This Row],[UnitPrice]]</f>
        <v>1169.3599999999999</v>
      </c>
    </row>
    <row r="342" spans="1:10" x14ac:dyDescent="0.25">
      <c r="A342" s="2" t="s">
        <v>500</v>
      </c>
      <c r="B342" s="3">
        <v>45432</v>
      </c>
      <c r="C342" s="2" t="s">
        <v>141</v>
      </c>
      <c r="D342" s="2" t="s">
        <v>152</v>
      </c>
      <c r="E342" s="2">
        <v>4</v>
      </c>
      <c r="F342" s="10">
        <v>1363.4</v>
      </c>
      <c r="G342" s="2" t="str">
        <f>_xlfn.XLOOKUP($D$1:$D$361,Products!$A$1:$A$41,Products!$C$1:$C$41)</f>
        <v>Electronics</v>
      </c>
      <c r="H342" s="2">
        <f>_xlfn.XLOOKUP(Sales!D:D,Products!A:A,Products!D:D)</f>
        <v>340.85</v>
      </c>
      <c r="I342" s="2" t="str">
        <f>_xlfn.XLOOKUP(Table1[[#This Row],[CustomerID]],Customer_info!A:A,Customer_info!D:D)</f>
        <v>India</v>
      </c>
      <c r="J342" s="13">
        <f>Table1[[#This Row],[Quantity]]*Table1[[#This Row],[UnitPrice]]</f>
        <v>1363.4</v>
      </c>
    </row>
    <row r="343" spans="1:10" x14ac:dyDescent="0.25">
      <c r="A343" s="2" t="s">
        <v>501</v>
      </c>
      <c r="B343" s="3">
        <v>45408</v>
      </c>
      <c r="C343" s="2" t="s">
        <v>145</v>
      </c>
      <c r="D343" s="2" t="s">
        <v>35</v>
      </c>
      <c r="E343" s="2">
        <v>1</v>
      </c>
      <c r="F343" s="10">
        <v>292.33999999999997</v>
      </c>
      <c r="G343" s="2" t="str">
        <f>_xlfn.XLOOKUP($D$1:$D$361,Products!$A$1:$A$41,Products!$C$1:$C$41)</f>
        <v>Sports</v>
      </c>
      <c r="H343" s="2">
        <f>_xlfn.XLOOKUP(Sales!D:D,Products!A:A,Products!D:D)</f>
        <v>292.33999999999997</v>
      </c>
      <c r="I343" s="2" t="str">
        <f>_xlfn.XLOOKUP(Table1[[#This Row],[CustomerID]],Customer_info!A:A,Customer_info!D:D)</f>
        <v>United Kingdom</v>
      </c>
      <c r="J343" s="13">
        <f>Table1[[#This Row],[Quantity]]*Table1[[#This Row],[UnitPrice]]</f>
        <v>292.33999999999997</v>
      </c>
    </row>
    <row r="344" spans="1:10" x14ac:dyDescent="0.25">
      <c r="A344" s="2" t="s">
        <v>502</v>
      </c>
      <c r="B344" s="3">
        <v>45372</v>
      </c>
      <c r="C344" s="2" t="s">
        <v>182</v>
      </c>
      <c r="D344" s="2" t="s">
        <v>122</v>
      </c>
      <c r="E344" s="2">
        <v>1</v>
      </c>
      <c r="F344" s="10">
        <v>87.14</v>
      </c>
      <c r="G344" s="2" t="str">
        <f>_xlfn.XLOOKUP($D$1:$D$361,Products!$A$1:$A$41,Products!$C$1:$C$41)</f>
        <v>Sports</v>
      </c>
      <c r="H344" s="2">
        <f>_xlfn.XLOOKUP(Sales!D:D,Products!A:A,Products!D:D)</f>
        <v>87.14</v>
      </c>
      <c r="I344" s="2" t="str">
        <f>_xlfn.XLOOKUP(Table1[[#This Row],[CustomerID]],Customer_info!A:A,Customer_info!D:D)</f>
        <v>Canada</v>
      </c>
      <c r="J344" s="13">
        <f>Table1[[#This Row],[Quantity]]*Table1[[#This Row],[UnitPrice]]</f>
        <v>87.14</v>
      </c>
    </row>
    <row r="345" spans="1:10" x14ac:dyDescent="0.25">
      <c r="A345" s="2" t="s">
        <v>503</v>
      </c>
      <c r="B345" s="3">
        <v>45374</v>
      </c>
      <c r="C345" s="2" t="s">
        <v>431</v>
      </c>
      <c r="D345" s="2" t="s">
        <v>81</v>
      </c>
      <c r="E345" s="2">
        <v>3</v>
      </c>
      <c r="F345" s="10">
        <v>1299.8399999999999</v>
      </c>
      <c r="G345" s="2" t="str">
        <f>_xlfn.XLOOKUP($D$1:$D$361,Products!$A$1:$A$41,Products!$C$1:$C$41)</f>
        <v>Beauty</v>
      </c>
      <c r="H345" s="2">
        <f>_xlfn.XLOOKUP(Sales!D:D,Products!A:A,Products!D:D)</f>
        <v>433.28</v>
      </c>
      <c r="I345" s="2" t="str">
        <f>_xlfn.XLOOKUP(Table1[[#This Row],[CustomerID]],Customer_info!A:A,Customer_info!D:D)</f>
        <v>United Kingdom</v>
      </c>
      <c r="J345" s="13">
        <f>Table1[[#This Row],[Quantity]]*Table1[[#This Row],[UnitPrice]]</f>
        <v>1299.8399999999999</v>
      </c>
    </row>
    <row r="346" spans="1:10" x14ac:dyDescent="0.25">
      <c r="A346" s="2" t="s">
        <v>504</v>
      </c>
      <c r="B346" s="3">
        <v>45395</v>
      </c>
      <c r="C346" s="2" t="s">
        <v>89</v>
      </c>
      <c r="D346" s="2" t="s">
        <v>35</v>
      </c>
      <c r="E346" s="2">
        <v>1</v>
      </c>
      <c r="F346" s="10">
        <v>292.33999999999997</v>
      </c>
      <c r="G346" s="2" t="str">
        <f>_xlfn.XLOOKUP($D$1:$D$361,Products!$A$1:$A$41,Products!$C$1:$C$41)</f>
        <v>Sports</v>
      </c>
      <c r="H346" s="2">
        <f>_xlfn.XLOOKUP(Sales!D:D,Products!A:A,Products!D:D)</f>
        <v>292.33999999999997</v>
      </c>
      <c r="I346" s="2" t="str">
        <f>_xlfn.XLOOKUP(Table1[[#This Row],[CustomerID]],Customer_info!A:A,Customer_info!D:D)</f>
        <v>United Kingdom</v>
      </c>
      <c r="J346" s="13">
        <f>Table1[[#This Row],[Quantity]]*Table1[[#This Row],[UnitPrice]]</f>
        <v>292.33999999999997</v>
      </c>
    </row>
    <row r="347" spans="1:10" x14ac:dyDescent="0.25">
      <c r="A347" s="2" t="s">
        <v>505</v>
      </c>
      <c r="B347" s="3">
        <v>45292</v>
      </c>
      <c r="C347" s="2" t="s">
        <v>139</v>
      </c>
      <c r="D347" s="2" t="s">
        <v>44</v>
      </c>
      <c r="E347" s="2">
        <v>5</v>
      </c>
      <c r="F347" s="10">
        <v>1363.9</v>
      </c>
      <c r="G347" s="2" t="str">
        <f>_xlfn.XLOOKUP($D$1:$D$361,Products!$A$1:$A$41,Products!$C$1:$C$41)</f>
        <v>Clothing</v>
      </c>
      <c r="H347" s="2">
        <f>_xlfn.XLOOKUP(Sales!D:D,Products!A:A,Products!D:D)</f>
        <v>272.77999999999997</v>
      </c>
      <c r="I347" s="2" t="str">
        <f>_xlfn.XLOOKUP(Table1[[#This Row],[CustomerID]],Customer_info!A:A,Customer_info!D:D)</f>
        <v>United States</v>
      </c>
      <c r="J347" s="13">
        <f>Table1[[#This Row],[Quantity]]*Table1[[#This Row],[UnitPrice]]</f>
        <v>1363.8999999999999</v>
      </c>
    </row>
    <row r="348" spans="1:10" x14ac:dyDescent="0.25">
      <c r="A348" s="2" t="s">
        <v>506</v>
      </c>
      <c r="B348" s="3">
        <v>45410</v>
      </c>
      <c r="C348" s="2" t="s">
        <v>442</v>
      </c>
      <c r="D348" s="2" t="s">
        <v>63</v>
      </c>
      <c r="E348" s="2">
        <v>5</v>
      </c>
      <c r="F348" s="10">
        <v>289.89999999999998</v>
      </c>
      <c r="G348" s="2" t="str">
        <f>_xlfn.XLOOKUP($D$1:$D$361,Products!$A$1:$A$41,Products!$C$1:$C$41)</f>
        <v>Sports</v>
      </c>
      <c r="H348" s="2">
        <f>_xlfn.XLOOKUP(Sales!D:D,Products!A:A,Products!D:D)</f>
        <v>57.98</v>
      </c>
      <c r="I348" s="2" t="str">
        <f>_xlfn.XLOOKUP(Table1[[#This Row],[CustomerID]],Customer_info!A:A,Customer_info!D:D)</f>
        <v>United Kingdom</v>
      </c>
      <c r="J348" s="13">
        <f>Table1[[#This Row],[Quantity]]*Table1[[#This Row],[UnitPrice]]</f>
        <v>289.89999999999998</v>
      </c>
    </row>
    <row r="349" spans="1:10" x14ac:dyDescent="0.25">
      <c r="A349" s="2" t="s">
        <v>507</v>
      </c>
      <c r="B349" s="3">
        <v>45305</v>
      </c>
      <c r="C349" s="2" t="s">
        <v>111</v>
      </c>
      <c r="D349" s="2" t="s">
        <v>108</v>
      </c>
      <c r="E349" s="2">
        <v>4</v>
      </c>
      <c r="F349" s="10">
        <v>197</v>
      </c>
      <c r="G349" s="2" t="str">
        <f>_xlfn.XLOOKUP($D$1:$D$361,Products!$A$1:$A$41,Products!$C$1:$C$41)</f>
        <v>Sports</v>
      </c>
      <c r="H349" s="2">
        <f>_xlfn.XLOOKUP(Sales!D:D,Products!A:A,Products!D:D)</f>
        <v>49.25</v>
      </c>
      <c r="I349" s="2" t="str">
        <f>_xlfn.XLOOKUP(Table1[[#This Row],[CustomerID]],Customer_info!A:A,Customer_info!D:D)</f>
        <v>United Kingdom</v>
      </c>
      <c r="J349" s="13">
        <f>Table1[[#This Row],[Quantity]]*Table1[[#This Row],[UnitPrice]]</f>
        <v>197</v>
      </c>
    </row>
    <row r="350" spans="1:10" x14ac:dyDescent="0.25">
      <c r="A350" s="2" t="s">
        <v>508</v>
      </c>
      <c r="B350" s="3">
        <v>45424</v>
      </c>
      <c r="C350" s="2" t="s">
        <v>195</v>
      </c>
      <c r="D350" s="2" t="s">
        <v>108</v>
      </c>
      <c r="E350" s="2">
        <v>2</v>
      </c>
      <c r="F350" s="10">
        <v>98.5</v>
      </c>
      <c r="G350" s="2" t="str">
        <f>_xlfn.XLOOKUP($D$1:$D$361,Products!$A$1:$A$41,Products!$C$1:$C$41)</f>
        <v>Sports</v>
      </c>
      <c r="H350" s="2">
        <f>_xlfn.XLOOKUP(Sales!D:D,Products!A:A,Products!D:D)</f>
        <v>49.25</v>
      </c>
      <c r="I350" s="2" t="str">
        <f>_xlfn.XLOOKUP(Table1[[#This Row],[CustomerID]],Customer_info!A:A,Customer_info!D:D)</f>
        <v>United Kingdom</v>
      </c>
      <c r="J350" s="13">
        <f>Table1[[#This Row],[Quantity]]*Table1[[#This Row],[UnitPrice]]</f>
        <v>98.5</v>
      </c>
    </row>
    <row r="351" spans="1:10" x14ac:dyDescent="0.25">
      <c r="A351" s="2" t="s">
        <v>509</v>
      </c>
      <c r="B351" s="3">
        <v>45451</v>
      </c>
      <c r="C351" s="2" t="s">
        <v>346</v>
      </c>
      <c r="D351" s="2" t="s">
        <v>196</v>
      </c>
      <c r="E351" s="2">
        <v>3</v>
      </c>
      <c r="F351" s="10">
        <v>737.61</v>
      </c>
      <c r="G351" s="2" t="str">
        <f>_xlfn.XLOOKUP($D$1:$D$361,Products!$A$1:$A$41,Products!$C$1:$C$41)</f>
        <v>Beauty</v>
      </c>
      <c r="H351" s="2">
        <f>_xlfn.XLOOKUP(Sales!D:D,Products!A:A,Products!D:D)</f>
        <v>245.87</v>
      </c>
      <c r="I351" s="2" t="str">
        <f>_xlfn.XLOOKUP(Table1[[#This Row],[CustomerID]],Customer_info!A:A,Customer_info!D:D)</f>
        <v>Canada</v>
      </c>
      <c r="J351" s="13">
        <f>Table1[[#This Row],[Quantity]]*Table1[[#This Row],[UnitPrice]]</f>
        <v>737.61</v>
      </c>
    </row>
    <row r="352" spans="1:10" x14ac:dyDescent="0.25">
      <c r="A352" s="2" t="s">
        <v>510</v>
      </c>
      <c r="B352" s="3">
        <v>45452</v>
      </c>
      <c r="C352" s="2" t="s">
        <v>310</v>
      </c>
      <c r="D352" s="2" t="s">
        <v>129</v>
      </c>
      <c r="E352" s="2">
        <v>4</v>
      </c>
      <c r="F352" s="10">
        <v>466.68</v>
      </c>
      <c r="G352" s="2" t="str">
        <f>_xlfn.XLOOKUP($D$1:$D$361,Products!$A$1:$A$41,Products!$C$1:$C$41)</f>
        <v>Home</v>
      </c>
      <c r="H352" s="2">
        <f>_xlfn.XLOOKUP(Sales!D:D,Products!A:A,Products!D:D)</f>
        <v>116.67</v>
      </c>
      <c r="I352" s="2" t="str">
        <f>_xlfn.XLOOKUP(Table1[[#This Row],[CustomerID]],Customer_info!A:A,Customer_info!D:D)</f>
        <v>United States</v>
      </c>
      <c r="J352" s="13">
        <f>Table1[[#This Row],[Quantity]]*Table1[[#This Row],[UnitPrice]]</f>
        <v>466.68</v>
      </c>
    </row>
    <row r="353" spans="1:10" x14ac:dyDescent="0.25">
      <c r="A353" s="2" t="s">
        <v>511</v>
      </c>
      <c r="B353" s="3">
        <v>45305</v>
      </c>
      <c r="C353" s="2" t="s">
        <v>74</v>
      </c>
      <c r="D353" s="2" t="s">
        <v>55</v>
      </c>
      <c r="E353" s="2">
        <v>4</v>
      </c>
      <c r="F353" s="10">
        <v>522.6</v>
      </c>
      <c r="G353" s="2" t="str">
        <f>_xlfn.XLOOKUP($D$1:$D$361,Products!$A$1:$A$41,Products!$C$1:$C$41)</f>
        <v>Sports</v>
      </c>
      <c r="H353" s="2">
        <f>_xlfn.XLOOKUP(Sales!D:D,Products!A:A,Products!D:D)</f>
        <v>130.65</v>
      </c>
      <c r="I353" s="2" t="str">
        <f>_xlfn.XLOOKUP(Table1[[#This Row],[CustomerID]],Customer_info!A:A,Customer_info!D:D)</f>
        <v>India</v>
      </c>
      <c r="J353" s="13">
        <f>Table1[[#This Row],[Quantity]]*Table1[[#This Row],[UnitPrice]]</f>
        <v>522.6</v>
      </c>
    </row>
    <row r="354" spans="1:10" x14ac:dyDescent="0.25">
      <c r="A354" s="2" t="s">
        <v>512</v>
      </c>
      <c r="B354" s="3">
        <v>45360</v>
      </c>
      <c r="C354" s="2" t="s">
        <v>10</v>
      </c>
      <c r="D354" s="2" t="s">
        <v>165</v>
      </c>
      <c r="E354" s="2">
        <v>2</v>
      </c>
      <c r="F354" s="10">
        <v>523.88</v>
      </c>
      <c r="G354" s="2" t="str">
        <f>_xlfn.XLOOKUP($D$1:$D$361,Products!$A$1:$A$41,Products!$C$1:$C$41)</f>
        <v>Electronics</v>
      </c>
      <c r="H354" s="2">
        <f>_xlfn.XLOOKUP(Sales!D:D,Products!A:A,Products!D:D)</f>
        <v>261.94</v>
      </c>
      <c r="I354" s="2" t="str">
        <f>_xlfn.XLOOKUP(Table1[[#This Row],[CustomerID]],Customer_info!A:A,Customer_info!D:D)</f>
        <v>India</v>
      </c>
      <c r="J354" s="13">
        <f>Table1[[#This Row],[Quantity]]*Table1[[#This Row],[UnitPrice]]</f>
        <v>523.88</v>
      </c>
    </row>
    <row r="355" spans="1:10" x14ac:dyDescent="0.25">
      <c r="A355" s="2" t="s">
        <v>513</v>
      </c>
      <c r="B355" s="3">
        <v>45325</v>
      </c>
      <c r="C355" s="2" t="s">
        <v>514</v>
      </c>
      <c r="D355" s="2" t="s">
        <v>136</v>
      </c>
      <c r="E355" s="2">
        <v>5</v>
      </c>
      <c r="F355" s="10">
        <v>2156.1</v>
      </c>
      <c r="G355" s="2" t="str">
        <f>_xlfn.XLOOKUP($D$1:$D$361,Products!$A$1:$A$41,Products!$C$1:$C$41)</f>
        <v>Electronics</v>
      </c>
      <c r="H355" s="2">
        <f>_xlfn.XLOOKUP(Sales!D:D,Products!A:A,Products!D:D)</f>
        <v>431.22</v>
      </c>
      <c r="I355" s="2" t="str">
        <f>_xlfn.XLOOKUP(Table1[[#This Row],[CustomerID]],Customer_info!A:A,Customer_info!D:D)</f>
        <v>United Kingdom</v>
      </c>
      <c r="J355" s="13">
        <f>Table1[[#This Row],[Quantity]]*Table1[[#This Row],[UnitPrice]]</f>
        <v>2156.1000000000004</v>
      </c>
    </row>
    <row r="356" spans="1:10" x14ac:dyDescent="0.25">
      <c r="A356" s="2" t="s">
        <v>515</v>
      </c>
      <c r="B356" s="3">
        <v>45404</v>
      </c>
      <c r="C356" s="2" t="s">
        <v>436</v>
      </c>
      <c r="D356" s="2" t="s">
        <v>35</v>
      </c>
      <c r="E356" s="2">
        <v>3</v>
      </c>
      <c r="F356" s="10">
        <v>877.02</v>
      </c>
      <c r="G356" s="2" t="str">
        <f>_xlfn.XLOOKUP($D$1:$D$361,Products!$A$1:$A$41,Products!$C$1:$C$41)</f>
        <v>Sports</v>
      </c>
      <c r="H356" s="2">
        <f>_xlfn.XLOOKUP(Sales!D:D,Products!A:A,Products!D:D)</f>
        <v>292.33999999999997</v>
      </c>
      <c r="I356" s="2" t="str">
        <f>_xlfn.XLOOKUP(Table1[[#This Row],[CustomerID]],Customer_info!A:A,Customer_info!D:D)</f>
        <v>United States</v>
      </c>
      <c r="J356" s="13">
        <f>Table1[[#This Row],[Quantity]]*Table1[[#This Row],[UnitPrice]]</f>
        <v>877.02</v>
      </c>
    </row>
    <row r="357" spans="1:10" x14ac:dyDescent="0.25">
      <c r="A357" s="2" t="s">
        <v>516</v>
      </c>
      <c r="B357" s="3">
        <v>45323</v>
      </c>
      <c r="C357" s="2" t="s">
        <v>167</v>
      </c>
      <c r="D357" s="2" t="s">
        <v>152</v>
      </c>
      <c r="E357" s="2">
        <v>4</v>
      </c>
      <c r="F357" s="10">
        <v>1363.4</v>
      </c>
      <c r="G357" s="2" t="str">
        <f>_xlfn.XLOOKUP($D$1:$D$361,Products!$A$1:$A$41,Products!$C$1:$C$41)</f>
        <v>Electronics</v>
      </c>
      <c r="H357" s="2">
        <f>_xlfn.XLOOKUP(Sales!D:D,Products!A:A,Products!D:D)</f>
        <v>340.85</v>
      </c>
      <c r="I357" s="2" t="str">
        <f>_xlfn.XLOOKUP(Table1[[#This Row],[CustomerID]],Customer_info!A:A,Customer_info!D:D)</f>
        <v>United Kingdom</v>
      </c>
      <c r="J357" s="13">
        <f>Table1[[#This Row],[Quantity]]*Table1[[#This Row],[UnitPrice]]</f>
        <v>1363.4</v>
      </c>
    </row>
    <row r="358" spans="1:10" x14ac:dyDescent="0.25">
      <c r="A358" s="2" t="s">
        <v>517</v>
      </c>
      <c r="B358" s="3">
        <v>45453</v>
      </c>
      <c r="C358" s="2" t="s">
        <v>74</v>
      </c>
      <c r="D358" s="2" t="s">
        <v>11</v>
      </c>
      <c r="E358" s="2">
        <v>1</v>
      </c>
      <c r="F358" s="10">
        <v>39.869999999999997</v>
      </c>
      <c r="G358" s="2" t="str">
        <f>_xlfn.XLOOKUP($D$1:$D$361,Products!$A$1:$A$41,Products!$C$1:$C$41)</f>
        <v>Sports</v>
      </c>
      <c r="H358" s="2">
        <f>_xlfn.XLOOKUP(Sales!D:D,Products!A:A,Products!D:D)</f>
        <v>39.869999999999997</v>
      </c>
      <c r="I358" s="2" t="str">
        <f>_xlfn.XLOOKUP(Table1[[#This Row],[CustomerID]],Customer_info!A:A,Customer_info!D:D)</f>
        <v>India</v>
      </c>
      <c r="J358" s="13">
        <f>Table1[[#This Row],[Quantity]]*Table1[[#This Row],[UnitPrice]]</f>
        <v>39.869999999999997</v>
      </c>
    </row>
    <row r="359" spans="1:10" x14ac:dyDescent="0.25">
      <c r="A359" s="2" t="s">
        <v>518</v>
      </c>
      <c r="B359" s="3">
        <v>45353</v>
      </c>
      <c r="C359" s="2" t="s">
        <v>202</v>
      </c>
      <c r="D359" s="2" t="s">
        <v>38</v>
      </c>
      <c r="E359" s="2">
        <v>5</v>
      </c>
      <c r="F359" s="10">
        <v>1671.6</v>
      </c>
      <c r="G359" s="2" t="str">
        <f>_xlfn.XLOOKUP($D$1:$D$361,Products!$A$1:$A$41,Products!$C$1:$C$41)</f>
        <v>Sports</v>
      </c>
      <c r="H359" s="2">
        <f>_xlfn.XLOOKUP(Sales!D:D,Products!A:A,Products!D:D)</f>
        <v>334.32</v>
      </c>
      <c r="I359" s="2" t="str">
        <f>_xlfn.XLOOKUP(Table1[[#This Row],[CustomerID]],Customer_info!A:A,Customer_info!D:D)</f>
        <v>India</v>
      </c>
      <c r="J359" s="13">
        <f>Table1[[#This Row],[Quantity]]*Table1[[#This Row],[UnitPrice]]</f>
        <v>1671.6</v>
      </c>
    </row>
    <row r="360" spans="1:10" x14ac:dyDescent="0.25">
      <c r="A360" s="2" t="s">
        <v>519</v>
      </c>
      <c r="B360" s="3">
        <v>45371</v>
      </c>
      <c r="C360" s="2" t="s">
        <v>113</v>
      </c>
      <c r="D360" s="2" t="s">
        <v>11</v>
      </c>
      <c r="E360" s="2">
        <v>2</v>
      </c>
      <c r="F360" s="10">
        <v>79.739999999999995</v>
      </c>
      <c r="G360" s="2" t="str">
        <f>_xlfn.XLOOKUP($D$1:$D$361,Products!$A$1:$A$41,Products!$C$1:$C$41)</f>
        <v>Sports</v>
      </c>
      <c r="H360" s="2">
        <f>_xlfn.XLOOKUP(Sales!D:D,Products!A:A,Products!D:D)</f>
        <v>39.869999999999997</v>
      </c>
      <c r="I360" s="2" t="str">
        <f>_xlfn.XLOOKUP(Table1[[#This Row],[CustomerID]],Customer_info!A:A,Customer_info!D:D)</f>
        <v>India</v>
      </c>
      <c r="J360" s="13">
        <f>Table1[[#This Row],[Quantity]]*Table1[[#This Row],[UnitPrice]]</f>
        <v>79.739999999999995</v>
      </c>
    </row>
    <row r="361" spans="1:10" x14ac:dyDescent="0.25">
      <c r="A361" s="2" t="s">
        <v>520</v>
      </c>
      <c r="B361" s="3">
        <v>45295</v>
      </c>
      <c r="C361" s="2" t="s">
        <v>302</v>
      </c>
      <c r="D361" s="2" t="s">
        <v>28</v>
      </c>
      <c r="E361" s="2">
        <v>5</v>
      </c>
      <c r="F361" s="10">
        <v>2261</v>
      </c>
      <c r="G361" s="2" t="str">
        <f>_xlfn.XLOOKUP($D$1:$D$361,Products!$A$1:$A$41,Products!$C$1:$C$41)</f>
        <v>Beauty</v>
      </c>
      <c r="H361" s="2">
        <f>_xlfn.XLOOKUP(Sales!D:D,Products!A:A,Products!D:D)</f>
        <v>452.2</v>
      </c>
      <c r="I361" s="2" t="str">
        <f>_xlfn.XLOOKUP(Table1[[#This Row],[CustomerID]],Customer_info!A:A,Customer_info!D:D)</f>
        <v>United States</v>
      </c>
      <c r="J361" s="13">
        <f>Table1[[#This Row],[Quantity]]*Table1[[#This Row],[UnitPrice]]</f>
        <v>2261</v>
      </c>
    </row>
    <row r="362" spans="1:10" x14ac:dyDescent="0.25">
      <c r="A362" s="2"/>
      <c r="B362" s="3"/>
      <c r="C362" s="2"/>
      <c r="D362" s="2"/>
      <c r="E362" s="2">
        <f>SUM(E2:E361)</f>
        <v>1080</v>
      </c>
      <c r="F362" s="10">
        <f>AVERAGE(F2:F361)</f>
        <v>692.54069444444485</v>
      </c>
      <c r="G362" s="5">
        <f>SUMIF(G2:G361,"Beauty", J2:J361)</f>
        <v>49960.629999999976</v>
      </c>
      <c r="H362" s="5"/>
      <c r="I362" s="5"/>
      <c r="J362" s="13">
        <f>SUM(J2:J361)</f>
        <v>249314.65000000014</v>
      </c>
    </row>
    <row r="363" spans="1:10" x14ac:dyDescent="0.25">
      <c r="G363">
        <f>SUMIF(G2:G361,"Clothing", J2:J361)</f>
        <v>37792.22</v>
      </c>
    </row>
    <row r="364" spans="1:10" x14ac:dyDescent="0.25">
      <c r="G364">
        <f>SUMIF(G2:G361,"Electronics", J2:J361)</f>
        <v>74267.189999999973</v>
      </c>
    </row>
    <row r="365" spans="1:10" x14ac:dyDescent="0.25">
      <c r="G365">
        <f>SUMIF(G2:G361,"Home",J2:J361)</f>
        <v>42451.150000000009</v>
      </c>
    </row>
    <row r="366" spans="1:10" x14ac:dyDescent="0.25">
      <c r="G366">
        <f>SUMIF(G2:G361,"Sports", J2:J361)</f>
        <v>44843.459999999977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D15FD-DD13-4650-A800-CA1B28C8F277}">
  <dimension ref="A1:D41"/>
  <sheetViews>
    <sheetView topLeftCell="A11" workbookViewId="0">
      <selection activeCell="C11" sqref="C1:C1048576"/>
    </sheetView>
  </sheetViews>
  <sheetFormatPr defaultRowHeight="15" x14ac:dyDescent="0.25"/>
  <cols>
    <col min="1" max="1" width="11.85546875" customWidth="1"/>
    <col min="2" max="2" width="15.28515625" customWidth="1"/>
    <col min="3" max="3" width="12.42578125" customWidth="1"/>
    <col min="4" max="4" width="16.140625" customWidth="1"/>
  </cols>
  <sheetData>
    <row r="1" spans="1:4" x14ac:dyDescent="0.25">
      <c r="A1" s="1" t="s">
        <v>3</v>
      </c>
      <c r="B1" s="1" t="s">
        <v>521</v>
      </c>
      <c r="C1" s="1" t="s">
        <v>522</v>
      </c>
      <c r="D1" s="1" t="s">
        <v>523</v>
      </c>
    </row>
    <row r="2" spans="1:4" x14ac:dyDescent="0.25">
      <c r="A2" s="2" t="s">
        <v>136</v>
      </c>
      <c r="B2" s="2" t="s">
        <v>524</v>
      </c>
      <c r="C2" s="2" t="s">
        <v>525</v>
      </c>
      <c r="D2" s="2">
        <v>431.22</v>
      </c>
    </row>
    <row r="3" spans="1:4" x14ac:dyDescent="0.25">
      <c r="A3" s="2" t="s">
        <v>165</v>
      </c>
      <c r="B3" s="2" t="s">
        <v>526</v>
      </c>
      <c r="C3" s="2" t="s">
        <v>525</v>
      </c>
      <c r="D3" s="2">
        <v>261.94</v>
      </c>
    </row>
    <row r="4" spans="1:4" x14ac:dyDescent="0.25">
      <c r="A4" s="2" t="s">
        <v>132</v>
      </c>
      <c r="B4" s="2" t="s">
        <v>527</v>
      </c>
      <c r="C4" s="2" t="s">
        <v>528</v>
      </c>
      <c r="D4" s="2">
        <v>337.8</v>
      </c>
    </row>
    <row r="5" spans="1:4" x14ac:dyDescent="0.25">
      <c r="A5" s="2" t="s">
        <v>304</v>
      </c>
      <c r="B5" s="2" t="s">
        <v>529</v>
      </c>
      <c r="C5" s="2" t="s">
        <v>530</v>
      </c>
      <c r="D5" s="2">
        <v>274.22000000000003</v>
      </c>
    </row>
    <row r="6" spans="1:4" x14ac:dyDescent="0.25">
      <c r="A6" s="2" t="s">
        <v>35</v>
      </c>
      <c r="B6" s="2" t="s">
        <v>531</v>
      </c>
      <c r="C6" s="2" t="s">
        <v>532</v>
      </c>
      <c r="D6" s="2">
        <v>292.33999999999997</v>
      </c>
    </row>
    <row r="7" spans="1:4" x14ac:dyDescent="0.25">
      <c r="A7" s="2" t="s">
        <v>17</v>
      </c>
      <c r="B7" s="2" t="s">
        <v>533</v>
      </c>
      <c r="C7" s="2" t="s">
        <v>530</v>
      </c>
      <c r="D7" s="2">
        <v>394.46</v>
      </c>
    </row>
    <row r="8" spans="1:4" x14ac:dyDescent="0.25">
      <c r="A8" s="2" t="s">
        <v>23</v>
      </c>
      <c r="B8" s="2" t="s">
        <v>534</v>
      </c>
      <c r="C8" s="2" t="s">
        <v>535</v>
      </c>
      <c r="D8" s="2">
        <v>103.3</v>
      </c>
    </row>
    <row r="9" spans="1:4" x14ac:dyDescent="0.25">
      <c r="A9" s="2" t="s">
        <v>146</v>
      </c>
      <c r="B9" s="2" t="s">
        <v>536</v>
      </c>
      <c r="C9" s="2" t="s">
        <v>525</v>
      </c>
      <c r="D9" s="2">
        <v>332.9</v>
      </c>
    </row>
    <row r="10" spans="1:4" x14ac:dyDescent="0.25">
      <c r="A10" s="2" t="s">
        <v>178</v>
      </c>
      <c r="B10" s="2" t="s">
        <v>537</v>
      </c>
      <c r="C10" s="2" t="s">
        <v>528</v>
      </c>
      <c r="D10" s="2">
        <v>217.55</v>
      </c>
    </row>
    <row r="11" spans="1:4" x14ac:dyDescent="0.25">
      <c r="A11" s="2" t="s">
        <v>81</v>
      </c>
      <c r="B11" s="2" t="s">
        <v>538</v>
      </c>
      <c r="C11" s="2" t="s">
        <v>535</v>
      </c>
      <c r="D11" s="2">
        <v>433.28</v>
      </c>
    </row>
    <row r="12" spans="1:4" x14ac:dyDescent="0.25">
      <c r="A12" s="2" t="s">
        <v>148</v>
      </c>
      <c r="B12" s="2" t="s">
        <v>539</v>
      </c>
      <c r="C12" s="2" t="s">
        <v>525</v>
      </c>
      <c r="D12" s="2">
        <v>339.95</v>
      </c>
    </row>
    <row r="13" spans="1:4" x14ac:dyDescent="0.25">
      <c r="A13" s="2" t="s">
        <v>124</v>
      </c>
      <c r="B13" s="2" t="s">
        <v>540</v>
      </c>
      <c r="C13" s="2" t="s">
        <v>525</v>
      </c>
      <c r="D13" s="2">
        <v>39.700000000000003</v>
      </c>
    </row>
    <row r="14" spans="1:4" x14ac:dyDescent="0.25">
      <c r="A14" s="2" t="s">
        <v>68</v>
      </c>
      <c r="B14" s="2" t="s">
        <v>541</v>
      </c>
      <c r="C14" s="2" t="s">
        <v>528</v>
      </c>
      <c r="D14" s="2">
        <v>402.29</v>
      </c>
    </row>
    <row r="15" spans="1:4" x14ac:dyDescent="0.25">
      <c r="A15" s="2" t="s">
        <v>98</v>
      </c>
      <c r="B15" s="2" t="s">
        <v>542</v>
      </c>
      <c r="C15" s="2" t="s">
        <v>525</v>
      </c>
      <c r="D15" s="2">
        <v>131.84</v>
      </c>
    </row>
    <row r="16" spans="1:4" x14ac:dyDescent="0.25">
      <c r="A16" s="2" t="s">
        <v>44</v>
      </c>
      <c r="B16" s="2" t="s">
        <v>543</v>
      </c>
      <c r="C16" s="2" t="s">
        <v>530</v>
      </c>
      <c r="D16" s="2">
        <v>272.77999999999997</v>
      </c>
    </row>
    <row r="17" spans="1:4" x14ac:dyDescent="0.25">
      <c r="A17" s="2" t="s">
        <v>72</v>
      </c>
      <c r="B17" s="2" t="s">
        <v>544</v>
      </c>
      <c r="C17" s="2" t="s">
        <v>530</v>
      </c>
      <c r="D17" s="2">
        <v>216.72</v>
      </c>
    </row>
    <row r="18" spans="1:4" x14ac:dyDescent="0.25">
      <c r="A18" s="2" t="s">
        <v>14</v>
      </c>
      <c r="B18" s="2" t="s">
        <v>545</v>
      </c>
      <c r="C18" s="2" t="s">
        <v>528</v>
      </c>
      <c r="D18" s="2">
        <v>236.69</v>
      </c>
    </row>
    <row r="19" spans="1:4" x14ac:dyDescent="0.25">
      <c r="A19" s="2" t="s">
        <v>114</v>
      </c>
      <c r="B19" s="2" t="s">
        <v>546</v>
      </c>
      <c r="C19" s="2" t="s">
        <v>525</v>
      </c>
      <c r="D19" s="2">
        <v>227.13</v>
      </c>
    </row>
    <row r="20" spans="1:4" x14ac:dyDescent="0.25">
      <c r="A20" s="2" t="s">
        <v>63</v>
      </c>
      <c r="B20" s="2" t="s">
        <v>547</v>
      </c>
      <c r="C20" s="2" t="s">
        <v>532</v>
      </c>
      <c r="D20" s="2">
        <v>57.98</v>
      </c>
    </row>
    <row r="21" spans="1:4" x14ac:dyDescent="0.25">
      <c r="A21" s="2" t="s">
        <v>8</v>
      </c>
      <c r="B21" s="2" t="s">
        <v>548</v>
      </c>
      <c r="C21" s="2" t="s">
        <v>532</v>
      </c>
      <c r="D21" s="2">
        <v>419.65</v>
      </c>
    </row>
    <row r="22" spans="1:4" x14ac:dyDescent="0.25">
      <c r="A22" s="2" t="s">
        <v>225</v>
      </c>
      <c r="B22" s="2" t="s">
        <v>549</v>
      </c>
      <c r="C22" s="2" t="s">
        <v>525</v>
      </c>
      <c r="D22" s="2">
        <v>463.92</v>
      </c>
    </row>
    <row r="23" spans="1:4" x14ac:dyDescent="0.25">
      <c r="A23" s="2" t="s">
        <v>60</v>
      </c>
      <c r="B23" s="2" t="s">
        <v>550</v>
      </c>
      <c r="C23" s="2" t="s">
        <v>530</v>
      </c>
      <c r="D23" s="2">
        <v>91.49</v>
      </c>
    </row>
    <row r="24" spans="1:4" x14ac:dyDescent="0.25">
      <c r="A24" s="2" t="s">
        <v>196</v>
      </c>
      <c r="B24" s="2" t="s">
        <v>551</v>
      </c>
      <c r="C24" s="2" t="s">
        <v>535</v>
      </c>
      <c r="D24" s="2">
        <v>245.87</v>
      </c>
    </row>
    <row r="25" spans="1:4" x14ac:dyDescent="0.25">
      <c r="A25" s="2" t="s">
        <v>28</v>
      </c>
      <c r="B25" s="2" t="s">
        <v>552</v>
      </c>
      <c r="C25" s="2" t="s">
        <v>535</v>
      </c>
      <c r="D25" s="2">
        <v>452.2</v>
      </c>
    </row>
    <row r="26" spans="1:4" x14ac:dyDescent="0.25">
      <c r="A26" s="2" t="s">
        <v>260</v>
      </c>
      <c r="B26" s="2" t="s">
        <v>553</v>
      </c>
      <c r="C26" s="2" t="s">
        <v>530</v>
      </c>
      <c r="D26" s="2">
        <v>195.7</v>
      </c>
    </row>
    <row r="27" spans="1:4" x14ac:dyDescent="0.25">
      <c r="A27" s="2" t="s">
        <v>103</v>
      </c>
      <c r="B27" s="2" t="s">
        <v>554</v>
      </c>
      <c r="C27" s="2" t="s">
        <v>535</v>
      </c>
      <c r="D27" s="2">
        <v>139.94999999999999</v>
      </c>
    </row>
    <row r="28" spans="1:4" x14ac:dyDescent="0.25">
      <c r="A28" s="2" t="s">
        <v>26</v>
      </c>
      <c r="B28" s="2" t="s">
        <v>555</v>
      </c>
      <c r="C28" s="2" t="s">
        <v>535</v>
      </c>
      <c r="D28" s="2">
        <v>149.77000000000001</v>
      </c>
    </row>
    <row r="29" spans="1:4" x14ac:dyDescent="0.25">
      <c r="A29" s="2" t="s">
        <v>38</v>
      </c>
      <c r="B29" s="2" t="s">
        <v>556</v>
      </c>
      <c r="C29" s="2" t="s">
        <v>532</v>
      </c>
      <c r="D29" s="2">
        <v>334.32</v>
      </c>
    </row>
    <row r="30" spans="1:4" x14ac:dyDescent="0.25">
      <c r="A30" s="2" t="s">
        <v>52</v>
      </c>
      <c r="B30" s="2" t="s">
        <v>557</v>
      </c>
      <c r="C30" s="2" t="s">
        <v>535</v>
      </c>
      <c r="D30" s="2">
        <v>85.85</v>
      </c>
    </row>
    <row r="31" spans="1:4" x14ac:dyDescent="0.25">
      <c r="A31" s="2" t="s">
        <v>129</v>
      </c>
      <c r="B31" s="2" t="s">
        <v>558</v>
      </c>
      <c r="C31" s="2" t="s">
        <v>528</v>
      </c>
      <c r="D31" s="2">
        <v>116.67</v>
      </c>
    </row>
    <row r="32" spans="1:4" x14ac:dyDescent="0.25">
      <c r="A32" s="2" t="s">
        <v>49</v>
      </c>
      <c r="B32" s="2" t="s">
        <v>559</v>
      </c>
      <c r="C32" s="2" t="s">
        <v>525</v>
      </c>
      <c r="D32" s="2">
        <v>293.8</v>
      </c>
    </row>
    <row r="33" spans="1:4" x14ac:dyDescent="0.25">
      <c r="A33" s="2" t="s">
        <v>11</v>
      </c>
      <c r="B33" s="2" t="s">
        <v>560</v>
      </c>
      <c r="C33" s="2" t="s">
        <v>532</v>
      </c>
      <c r="D33" s="2">
        <v>39.869999999999997</v>
      </c>
    </row>
    <row r="34" spans="1:4" x14ac:dyDescent="0.25">
      <c r="A34" s="2" t="s">
        <v>41</v>
      </c>
      <c r="B34" s="2" t="s">
        <v>561</v>
      </c>
      <c r="C34" s="2" t="s">
        <v>528</v>
      </c>
      <c r="D34" s="2">
        <v>38.01</v>
      </c>
    </row>
    <row r="35" spans="1:4" x14ac:dyDescent="0.25">
      <c r="A35" s="2" t="s">
        <v>231</v>
      </c>
      <c r="B35" s="2" t="s">
        <v>562</v>
      </c>
      <c r="C35" s="2" t="s">
        <v>532</v>
      </c>
      <c r="D35" s="2">
        <v>243.63</v>
      </c>
    </row>
    <row r="36" spans="1:4" x14ac:dyDescent="0.25">
      <c r="A36" s="2" t="s">
        <v>122</v>
      </c>
      <c r="B36" s="2" t="s">
        <v>563</v>
      </c>
      <c r="C36" s="2" t="s">
        <v>532</v>
      </c>
      <c r="D36" s="2">
        <v>87.14</v>
      </c>
    </row>
    <row r="37" spans="1:4" x14ac:dyDescent="0.25">
      <c r="A37" s="2" t="s">
        <v>108</v>
      </c>
      <c r="B37" s="2" t="s">
        <v>564</v>
      </c>
      <c r="C37" s="2" t="s">
        <v>532</v>
      </c>
      <c r="D37" s="2">
        <v>49.25</v>
      </c>
    </row>
    <row r="38" spans="1:4" x14ac:dyDescent="0.25">
      <c r="A38" s="2" t="s">
        <v>160</v>
      </c>
      <c r="B38" s="2" t="s">
        <v>565</v>
      </c>
      <c r="C38" s="2" t="s">
        <v>530</v>
      </c>
      <c r="D38" s="2">
        <v>43.58</v>
      </c>
    </row>
    <row r="39" spans="1:4" x14ac:dyDescent="0.25">
      <c r="A39" s="2" t="s">
        <v>152</v>
      </c>
      <c r="B39" s="2" t="s">
        <v>566</v>
      </c>
      <c r="C39" s="2" t="s">
        <v>525</v>
      </c>
      <c r="D39" s="2">
        <v>340.85</v>
      </c>
    </row>
    <row r="40" spans="1:4" x14ac:dyDescent="0.25">
      <c r="A40" s="2" t="s">
        <v>20</v>
      </c>
      <c r="B40" s="2" t="s">
        <v>567</v>
      </c>
      <c r="C40" s="2" t="s">
        <v>530</v>
      </c>
      <c r="D40" s="2">
        <v>207.85</v>
      </c>
    </row>
    <row r="41" spans="1:4" x14ac:dyDescent="0.25">
      <c r="A41" s="2" t="s">
        <v>55</v>
      </c>
      <c r="B41" s="2" t="s">
        <v>568</v>
      </c>
      <c r="C41" s="2" t="s">
        <v>532</v>
      </c>
      <c r="D41" s="2">
        <v>130.65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76A19-B03F-4CA2-8C24-06C2088ECD4A}">
  <dimension ref="A1:H121"/>
  <sheetViews>
    <sheetView workbookViewId="0">
      <selection activeCell="I10" sqref="I10"/>
    </sheetView>
  </sheetViews>
  <sheetFormatPr defaultRowHeight="15" x14ac:dyDescent="0.25"/>
  <cols>
    <col min="1" max="1" width="13.5703125" customWidth="1"/>
    <col min="2" max="2" width="17" customWidth="1"/>
    <col min="3" max="3" width="13.28515625" customWidth="1"/>
    <col min="4" max="4" width="12.140625" customWidth="1"/>
    <col min="5" max="5" width="13.28515625" customWidth="1"/>
  </cols>
  <sheetData>
    <row r="1" spans="1:5" x14ac:dyDescent="0.25">
      <c r="A1" s="1" t="s">
        <v>2</v>
      </c>
      <c r="B1" s="1" t="s">
        <v>569</v>
      </c>
      <c r="C1" s="1" t="s">
        <v>570</v>
      </c>
      <c r="D1" s="1" t="s">
        <v>571</v>
      </c>
      <c r="E1" s="1" t="s">
        <v>572</v>
      </c>
    </row>
    <row r="2" spans="1:5" x14ac:dyDescent="0.25">
      <c r="A2" s="2" t="s">
        <v>74</v>
      </c>
      <c r="B2" s="2" t="s">
        <v>573</v>
      </c>
      <c r="C2" s="2" t="s">
        <v>574</v>
      </c>
      <c r="D2" s="2" t="s">
        <v>575</v>
      </c>
      <c r="E2" s="3">
        <v>44984</v>
      </c>
    </row>
    <row r="3" spans="1:5" x14ac:dyDescent="0.25">
      <c r="A3" s="2" t="s">
        <v>89</v>
      </c>
      <c r="B3" s="2" t="s">
        <v>576</v>
      </c>
      <c r="C3" s="2" t="s">
        <v>577</v>
      </c>
      <c r="D3" s="2" t="s">
        <v>580</v>
      </c>
      <c r="E3" s="3">
        <v>45067</v>
      </c>
    </row>
    <row r="4" spans="1:5" x14ac:dyDescent="0.25">
      <c r="A4" s="2" t="s">
        <v>170</v>
      </c>
      <c r="B4" s="2" t="s">
        <v>578</v>
      </c>
      <c r="C4" s="2" t="s">
        <v>579</v>
      </c>
      <c r="D4" s="2" t="s">
        <v>580</v>
      </c>
      <c r="E4" s="3">
        <v>45041</v>
      </c>
    </row>
    <row r="5" spans="1:5" x14ac:dyDescent="0.25">
      <c r="A5" s="2" t="s">
        <v>410</v>
      </c>
      <c r="B5" s="2" t="s">
        <v>581</v>
      </c>
      <c r="C5" s="2" t="s">
        <v>582</v>
      </c>
      <c r="D5" s="2" t="s">
        <v>580</v>
      </c>
      <c r="E5" s="3">
        <v>44979</v>
      </c>
    </row>
    <row r="6" spans="1:5" x14ac:dyDescent="0.25">
      <c r="A6" s="2" t="s">
        <v>135</v>
      </c>
      <c r="B6" s="2" t="s">
        <v>583</v>
      </c>
      <c r="C6" s="2" t="s">
        <v>584</v>
      </c>
      <c r="D6" s="2" t="s">
        <v>575</v>
      </c>
      <c r="E6" s="3">
        <v>45206</v>
      </c>
    </row>
    <row r="7" spans="1:5" x14ac:dyDescent="0.25">
      <c r="A7" s="2" t="s">
        <v>30</v>
      </c>
      <c r="B7" s="2" t="s">
        <v>585</v>
      </c>
      <c r="C7" s="2" t="s">
        <v>586</v>
      </c>
      <c r="D7" s="2" t="s">
        <v>580</v>
      </c>
      <c r="E7" s="3">
        <v>45229</v>
      </c>
    </row>
    <row r="8" spans="1:5" x14ac:dyDescent="0.25">
      <c r="A8" s="2" t="s">
        <v>587</v>
      </c>
      <c r="B8" s="2" t="s">
        <v>588</v>
      </c>
      <c r="C8" s="2" t="s">
        <v>589</v>
      </c>
      <c r="D8" s="2" t="s">
        <v>590</v>
      </c>
      <c r="E8" s="3">
        <v>44943</v>
      </c>
    </row>
    <row r="9" spans="1:5" x14ac:dyDescent="0.25">
      <c r="A9" s="2" t="s">
        <v>245</v>
      </c>
      <c r="B9" s="2" t="s">
        <v>591</v>
      </c>
      <c r="C9" s="2" t="s">
        <v>592</v>
      </c>
      <c r="D9" s="2" t="s">
        <v>580</v>
      </c>
      <c r="E9" s="3">
        <v>44974</v>
      </c>
    </row>
    <row r="10" spans="1:5" x14ac:dyDescent="0.25">
      <c r="A10" s="2" t="s">
        <v>229</v>
      </c>
      <c r="B10" s="2" t="s">
        <v>593</v>
      </c>
      <c r="C10" s="2" t="s">
        <v>594</v>
      </c>
      <c r="D10" s="2" t="s">
        <v>580</v>
      </c>
      <c r="E10" s="3">
        <v>45046</v>
      </c>
    </row>
    <row r="11" spans="1:5" x14ac:dyDescent="0.25">
      <c r="A11" s="2" t="s">
        <v>206</v>
      </c>
      <c r="B11" s="2" t="s">
        <v>595</v>
      </c>
      <c r="C11" s="2" t="s">
        <v>596</v>
      </c>
      <c r="D11" s="2" t="s">
        <v>597</v>
      </c>
      <c r="E11" s="3">
        <v>45235</v>
      </c>
    </row>
    <row r="12" spans="1:5" x14ac:dyDescent="0.25">
      <c r="A12" s="2" t="s">
        <v>280</v>
      </c>
      <c r="B12" s="2" t="s">
        <v>598</v>
      </c>
      <c r="C12" s="2" t="s">
        <v>599</v>
      </c>
      <c r="D12" s="2" t="s">
        <v>580</v>
      </c>
      <c r="E12" s="3">
        <v>45214</v>
      </c>
    </row>
    <row r="13" spans="1:5" x14ac:dyDescent="0.25">
      <c r="A13" s="2" t="s">
        <v>150</v>
      </c>
      <c r="B13" s="2" t="s">
        <v>600</v>
      </c>
      <c r="C13" s="2" t="s">
        <v>601</v>
      </c>
      <c r="D13" s="2" t="s">
        <v>580</v>
      </c>
      <c r="E13" s="3">
        <v>45259</v>
      </c>
    </row>
    <row r="14" spans="1:5" x14ac:dyDescent="0.25">
      <c r="A14" s="2" t="s">
        <v>467</v>
      </c>
      <c r="B14" s="2" t="s">
        <v>602</v>
      </c>
      <c r="C14" s="2" t="s">
        <v>603</v>
      </c>
      <c r="D14" s="2" t="s">
        <v>575</v>
      </c>
      <c r="E14" s="3">
        <v>45206</v>
      </c>
    </row>
    <row r="15" spans="1:5" x14ac:dyDescent="0.25">
      <c r="A15" s="2" t="s">
        <v>97</v>
      </c>
      <c r="B15" s="2" t="s">
        <v>604</v>
      </c>
      <c r="C15" s="2" t="s">
        <v>605</v>
      </c>
      <c r="D15" s="2" t="s">
        <v>590</v>
      </c>
      <c r="E15" s="3">
        <v>45039</v>
      </c>
    </row>
    <row r="16" spans="1:5" x14ac:dyDescent="0.25">
      <c r="A16" s="2" t="s">
        <v>241</v>
      </c>
      <c r="B16" s="2" t="s">
        <v>606</v>
      </c>
      <c r="C16" s="2" t="s">
        <v>607</v>
      </c>
      <c r="D16" s="2" t="s">
        <v>590</v>
      </c>
      <c r="E16" s="3">
        <v>45228</v>
      </c>
    </row>
    <row r="17" spans="1:8" x14ac:dyDescent="0.25">
      <c r="A17" s="2" t="s">
        <v>295</v>
      </c>
      <c r="B17" s="2" t="s">
        <v>608</v>
      </c>
      <c r="C17" s="2" t="s">
        <v>609</v>
      </c>
      <c r="D17" s="2" t="s">
        <v>590</v>
      </c>
      <c r="E17" s="3">
        <v>44930</v>
      </c>
    </row>
    <row r="18" spans="1:8" x14ac:dyDescent="0.25">
      <c r="A18" s="2" t="s">
        <v>442</v>
      </c>
      <c r="B18" s="2" t="s">
        <v>610</v>
      </c>
      <c r="C18" s="2" t="s">
        <v>611</v>
      </c>
      <c r="D18" s="2" t="s">
        <v>580</v>
      </c>
      <c r="E18" s="3">
        <v>45284</v>
      </c>
      <c r="H18" s="4"/>
    </row>
    <row r="19" spans="1:8" x14ac:dyDescent="0.25">
      <c r="A19" s="2" t="s">
        <v>19</v>
      </c>
      <c r="B19" s="2" t="s">
        <v>612</v>
      </c>
      <c r="C19" s="2" t="s">
        <v>613</v>
      </c>
      <c r="D19" s="2" t="s">
        <v>590</v>
      </c>
      <c r="E19" s="3">
        <v>45101</v>
      </c>
    </row>
    <row r="20" spans="1:8" x14ac:dyDescent="0.25">
      <c r="A20" s="2" t="s">
        <v>283</v>
      </c>
      <c r="B20" s="2" t="s">
        <v>614</v>
      </c>
      <c r="C20" s="2" t="s">
        <v>615</v>
      </c>
      <c r="D20" s="2" t="s">
        <v>590</v>
      </c>
      <c r="E20" s="3">
        <v>45006</v>
      </c>
    </row>
    <row r="21" spans="1:8" x14ac:dyDescent="0.25">
      <c r="A21" s="2" t="s">
        <v>269</v>
      </c>
      <c r="B21" s="2" t="s">
        <v>616</v>
      </c>
      <c r="C21" s="2" t="s">
        <v>617</v>
      </c>
      <c r="D21" s="2" t="s">
        <v>580</v>
      </c>
      <c r="E21" s="3">
        <v>45099</v>
      </c>
    </row>
    <row r="22" spans="1:8" x14ac:dyDescent="0.25">
      <c r="A22" s="2" t="s">
        <v>32</v>
      </c>
      <c r="B22" s="2" t="s">
        <v>618</v>
      </c>
      <c r="C22" s="2" t="s">
        <v>619</v>
      </c>
      <c r="D22" s="2" t="s">
        <v>580</v>
      </c>
      <c r="E22" s="3">
        <v>44974</v>
      </c>
    </row>
    <row r="23" spans="1:8" x14ac:dyDescent="0.25">
      <c r="A23" s="2" t="s">
        <v>323</v>
      </c>
      <c r="B23" s="2" t="s">
        <v>620</v>
      </c>
      <c r="C23" s="2" t="s">
        <v>621</v>
      </c>
      <c r="D23" s="2" t="s">
        <v>590</v>
      </c>
      <c r="E23" s="3">
        <v>44976</v>
      </c>
    </row>
    <row r="24" spans="1:8" x14ac:dyDescent="0.25">
      <c r="A24" s="2" t="s">
        <v>310</v>
      </c>
      <c r="B24" s="2" t="s">
        <v>622</v>
      </c>
      <c r="C24" s="2" t="s">
        <v>623</v>
      </c>
      <c r="D24" s="2" t="s">
        <v>590</v>
      </c>
      <c r="E24" s="3">
        <v>45103</v>
      </c>
    </row>
    <row r="25" spans="1:8" x14ac:dyDescent="0.25">
      <c r="A25" s="2" t="s">
        <v>346</v>
      </c>
      <c r="B25" s="2" t="s">
        <v>624</v>
      </c>
      <c r="C25" s="2" t="s">
        <v>625</v>
      </c>
      <c r="D25" s="2" t="s">
        <v>597</v>
      </c>
      <c r="E25" s="3">
        <v>45062</v>
      </c>
    </row>
    <row r="26" spans="1:8" x14ac:dyDescent="0.25">
      <c r="A26" s="2" t="s">
        <v>40</v>
      </c>
      <c r="B26" s="2" t="s">
        <v>626</v>
      </c>
      <c r="C26" s="2" t="s">
        <v>627</v>
      </c>
      <c r="D26" s="2" t="s">
        <v>580</v>
      </c>
      <c r="E26" s="3">
        <v>45162</v>
      </c>
    </row>
    <row r="27" spans="1:8" x14ac:dyDescent="0.25">
      <c r="A27" s="2" t="s">
        <v>249</v>
      </c>
      <c r="B27" s="2" t="s">
        <v>628</v>
      </c>
      <c r="C27" s="2" t="s">
        <v>629</v>
      </c>
      <c r="D27" s="2" t="s">
        <v>597</v>
      </c>
      <c r="E27" s="3">
        <v>44990</v>
      </c>
    </row>
    <row r="28" spans="1:8" x14ac:dyDescent="0.25">
      <c r="A28" s="2" t="s">
        <v>70</v>
      </c>
      <c r="B28" s="2" t="s">
        <v>630</v>
      </c>
      <c r="C28" s="2" t="s">
        <v>631</v>
      </c>
      <c r="D28" s="2" t="s">
        <v>590</v>
      </c>
      <c r="E28" s="3">
        <v>44967</v>
      </c>
    </row>
    <row r="29" spans="1:8" x14ac:dyDescent="0.25">
      <c r="A29" s="2" t="s">
        <v>632</v>
      </c>
      <c r="B29" s="2" t="s">
        <v>633</v>
      </c>
      <c r="C29" s="2" t="s">
        <v>634</v>
      </c>
      <c r="D29" s="2" t="s">
        <v>597</v>
      </c>
      <c r="E29" s="3">
        <v>45077</v>
      </c>
    </row>
    <row r="30" spans="1:8" x14ac:dyDescent="0.25">
      <c r="A30" s="2" t="s">
        <v>243</v>
      </c>
      <c r="B30" s="2" t="s">
        <v>635</v>
      </c>
      <c r="C30" s="2" t="s">
        <v>636</v>
      </c>
      <c r="D30" s="2" t="s">
        <v>575</v>
      </c>
      <c r="E30" s="3">
        <v>45243</v>
      </c>
    </row>
    <row r="31" spans="1:8" x14ac:dyDescent="0.25">
      <c r="A31" s="2" t="s">
        <v>139</v>
      </c>
      <c r="B31" s="2" t="s">
        <v>637</v>
      </c>
      <c r="C31" s="2" t="s">
        <v>638</v>
      </c>
      <c r="D31" s="2" t="s">
        <v>590</v>
      </c>
      <c r="E31" s="3">
        <v>45222</v>
      </c>
    </row>
    <row r="32" spans="1:8" x14ac:dyDescent="0.25">
      <c r="A32" s="2" t="s">
        <v>87</v>
      </c>
      <c r="B32" s="2" t="s">
        <v>639</v>
      </c>
      <c r="C32" s="2" t="s">
        <v>640</v>
      </c>
      <c r="D32" s="2" t="s">
        <v>580</v>
      </c>
      <c r="E32" s="3">
        <v>45287</v>
      </c>
    </row>
    <row r="33" spans="1:5" x14ac:dyDescent="0.25">
      <c r="A33" s="2" t="s">
        <v>195</v>
      </c>
      <c r="B33" s="2" t="s">
        <v>641</v>
      </c>
      <c r="C33" s="2" t="s">
        <v>642</v>
      </c>
      <c r="D33" s="2" t="s">
        <v>580</v>
      </c>
      <c r="E33" s="3">
        <v>44950</v>
      </c>
    </row>
    <row r="34" spans="1:5" x14ac:dyDescent="0.25">
      <c r="A34" s="2" t="s">
        <v>422</v>
      </c>
      <c r="B34" s="2" t="s">
        <v>643</v>
      </c>
      <c r="C34" s="2" t="s">
        <v>644</v>
      </c>
      <c r="D34" s="2" t="s">
        <v>575</v>
      </c>
      <c r="E34" s="3">
        <v>45043</v>
      </c>
    </row>
    <row r="35" spans="1:5" x14ac:dyDescent="0.25">
      <c r="A35" s="2" t="s">
        <v>78</v>
      </c>
      <c r="B35" s="2" t="s">
        <v>645</v>
      </c>
      <c r="C35" s="2" t="s">
        <v>646</v>
      </c>
      <c r="D35" s="2" t="s">
        <v>590</v>
      </c>
      <c r="E35" s="3">
        <v>44967</v>
      </c>
    </row>
    <row r="36" spans="1:5" x14ac:dyDescent="0.25">
      <c r="A36" s="2" t="s">
        <v>176</v>
      </c>
      <c r="B36" s="2" t="s">
        <v>647</v>
      </c>
      <c r="C36" s="2" t="s">
        <v>648</v>
      </c>
      <c r="D36" s="2" t="s">
        <v>580</v>
      </c>
      <c r="E36" s="3">
        <v>44978</v>
      </c>
    </row>
    <row r="37" spans="1:5" x14ac:dyDescent="0.25">
      <c r="A37" s="2" t="s">
        <v>211</v>
      </c>
      <c r="B37" s="2" t="s">
        <v>649</v>
      </c>
      <c r="C37" s="2" t="s">
        <v>650</v>
      </c>
      <c r="D37" s="2" t="s">
        <v>590</v>
      </c>
      <c r="E37" s="3">
        <v>45069</v>
      </c>
    </row>
    <row r="38" spans="1:5" x14ac:dyDescent="0.25">
      <c r="A38" s="2" t="s">
        <v>651</v>
      </c>
      <c r="B38" s="2" t="s">
        <v>652</v>
      </c>
      <c r="C38" s="2" t="s">
        <v>653</v>
      </c>
      <c r="D38" s="2" t="s">
        <v>590</v>
      </c>
      <c r="E38" s="3">
        <v>45252</v>
      </c>
    </row>
    <row r="39" spans="1:5" x14ac:dyDescent="0.25">
      <c r="A39" s="2" t="s">
        <v>22</v>
      </c>
      <c r="B39" s="2" t="s">
        <v>654</v>
      </c>
      <c r="C39" s="2" t="s">
        <v>655</v>
      </c>
      <c r="D39" s="2" t="s">
        <v>590</v>
      </c>
      <c r="E39" s="3">
        <v>45010</v>
      </c>
    </row>
    <row r="40" spans="1:5" x14ac:dyDescent="0.25">
      <c r="A40" s="2" t="s">
        <v>377</v>
      </c>
      <c r="B40" s="2" t="s">
        <v>656</v>
      </c>
      <c r="C40" s="2" t="s">
        <v>657</v>
      </c>
      <c r="D40" s="2" t="s">
        <v>590</v>
      </c>
      <c r="E40" s="3">
        <v>45108</v>
      </c>
    </row>
    <row r="41" spans="1:5" x14ac:dyDescent="0.25">
      <c r="A41" s="2" t="s">
        <v>358</v>
      </c>
      <c r="B41" s="2" t="s">
        <v>658</v>
      </c>
      <c r="C41" s="2" t="s">
        <v>659</v>
      </c>
      <c r="D41" s="2" t="s">
        <v>580</v>
      </c>
      <c r="E41" s="3">
        <v>45270</v>
      </c>
    </row>
    <row r="42" spans="1:5" x14ac:dyDescent="0.25">
      <c r="A42" s="2" t="s">
        <v>34</v>
      </c>
      <c r="B42" s="2" t="s">
        <v>660</v>
      </c>
      <c r="C42" s="2" t="s">
        <v>661</v>
      </c>
      <c r="D42" s="2" t="s">
        <v>590</v>
      </c>
      <c r="E42" s="3">
        <v>45286</v>
      </c>
    </row>
    <row r="43" spans="1:5" x14ac:dyDescent="0.25">
      <c r="A43" s="2" t="s">
        <v>126</v>
      </c>
      <c r="B43" s="2" t="s">
        <v>662</v>
      </c>
      <c r="C43" s="2" t="s">
        <v>663</v>
      </c>
      <c r="D43" s="2" t="s">
        <v>575</v>
      </c>
      <c r="E43" s="3">
        <v>45258</v>
      </c>
    </row>
    <row r="44" spans="1:5" x14ac:dyDescent="0.25">
      <c r="A44" s="2" t="s">
        <v>46</v>
      </c>
      <c r="B44" s="2" t="s">
        <v>664</v>
      </c>
      <c r="C44" s="2" t="s">
        <v>665</v>
      </c>
      <c r="D44" s="2" t="s">
        <v>580</v>
      </c>
      <c r="E44" s="3">
        <v>45238</v>
      </c>
    </row>
    <row r="45" spans="1:5" x14ac:dyDescent="0.25">
      <c r="A45" s="2" t="s">
        <v>367</v>
      </c>
      <c r="B45" s="2" t="s">
        <v>666</v>
      </c>
      <c r="C45" s="2" t="s">
        <v>667</v>
      </c>
      <c r="D45" s="2" t="s">
        <v>575</v>
      </c>
      <c r="E45" s="3">
        <v>45014</v>
      </c>
    </row>
    <row r="46" spans="1:5" x14ac:dyDescent="0.25">
      <c r="A46" s="2" t="s">
        <v>258</v>
      </c>
      <c r="B46" s="2" t="s">
        <v>668</v>
      </c>
      <c r="C46" s="2" t="s">
        <v>669</v>
      </c>
      <c r="D46" s="2" t="s">
        <v>597</v>
      </c>
      <c r="E46" s="3">
        <v>45052</v>
      </c>
    </row>
    <row r="47" spans="1:5" x14ac:dyDescent="0.25">
      <c r="A47" s="2" t="s">
        <v>214</v>
      </c>
      <c r="B47" s="2" t="s">
        <v>670</v>
      </c>
      <c r="C47" s="2" t="s">
        <v>671</v>
      </c>
      <c r="D47" s="2" t="s">
        <v>580</v>
      </c>
      <c r="E47" s="3">
        <v>45163</v>
      </c>
    </row>
    <row r="48" spans="1:5" x14ac:dyDescent="0.25">
      <c r="A48" s="2" t="s">
        <v>235</v>
      </c>
      <c r="B48" s="2" t="s">
        <v>672</v>
      </c>
      <c r="C48" s="2" t="s">
        <v>673</v>
      </c>
      <c r="D48" s="2" t="s">
        <v>590</v>
      </c>
      <c r="E48" s="3">
        <v>45065</v>
      </c>
    </row>
    <row r="49" spans="1:5" x14ac:dyDescent="0.25">
      <c r="A49" s="2" t="s">
        <v>202</v>
      </c>
      <c r="B49" s="2" t="s">
        <v>674</v>
      </c>
      <c r="C49" s="2" t="s">
        <v>675</v>
      </c>
      <c r="D49" s="2" t="s">
        <v>575</v>
      </c>
      <c r="E49" s="3">
        <v>45279</v>
      </c>
    </row>
    <row r="50" spans="1:5" x14ac:dyDescent="0.25">
      <c r="A50" s="2" t="s">
        <v>48</v>
      </c>
      <c r="B50" s="2" t="s">
        <v>676</v>
      </c>
      <c r="C50" s="2" t="s">
        <v>677</v>
      </c>
      <c r="D50" s="2" t="s">
        <v>597</v>
      </c>
      <c r="E50" s="3">
        <v>45039</v>
      </c>
    </row>
    <row r="51" spans="1:5" x14ac:dyDescent="0.25">
      <c r="A51" s="2" t="s">
        <v>113</v>
      </c>
      <c r="B51" s="2" t="s">
        <v>678</v>
      </c>
      <c r="C51" s="2" t="s">
        <v>679</v>
      </c>
      <c r="D51" s="2" t="s">
        <v>575</v>
      </c>
      <c r="E51" s="3">
        <v>45093</v>
      </c>
    </row>
    <row r="52" spans="1:5" x14ac:dyDescent="0.25">
      <c r="A52" s="2" t="s">
        <v>312</v>
      </c>
      <c r="B52" s="2" t="s">
        <v>680</v>
      </c>
      <c r="C52" s="2" t="s">
        <v>681</v>
      </c>
      <c r="D52" s="2" t="s">
        <v>580</v>
      </c>
      <c r="E52" s="3">
        <v>45044</v>
      </c>
    </row>
    <row r="53" spans="1:5" x14ac:dyDescent="0.25">
      <c r="A53" s="2" t="s">
        <v>514</v>
      </c>
      <c r="B53" s="2" t="s">
        <v>682</v>
      </c>
      <c r="C53" s="2" t="s">
        <v>683</v>
      </c>
      <c r="D53" s="2" t="s">
        <v>580</v>
      </c>
      <c r="E53" s="3">
        <v>45088</v>
      </c>
    </row>
    <row r="54" spans="1:5" x14ac:dyDescent="0.25">
      <c r="A54" s="2" t="s">
        <v>43</v>
      </c>
      <c r="B54" s="2" t="s">
        <v>684</v>
      </c>
      <c r="C54" s="2" t="s">
        <v>685</v>
      </c>
      <c r="D54" s="2" t="s">
        <v>590</v>
      </c>
      <c r="E54" s="3">
        <v>45064</v>
      </c>
    </row>
    <row r="55" spans="1:5" x14ac:dyDescent="0.25">
      <c r="A55" s="2" t="s">
        <v>431</v>
      </c>
      <c r="B55" s="2" t="s">
        <v>686</v>
      </c>
      <c r="C55" s="2" t="s">
        <v>687</v>
      </c>
      <c r="D55" s="2" t="s">
        <v>580</v>
      </c>
      <c r="E55" s="3">
        <v>45035</v>
      </c>
    </row>
    <row r="56" spans="1:5" x14ac:dyDescent="0.25">
      <c r="A56" s="2" t="s">
        <v>439</v>
      </c>
      <c r="B56" s="2" t="s">
        <v>688</v>
      </c>
      <c r="C56" s="2" t="s">
        <v>689</v>
      </c>
      <c r="D56" s="2" t="s">
        <v>597</v>
      </c>
      <c r="E56" s="3">
        <v>45088</v>
      </c>
    </row>
    <row r="57" spans="1:5" x14ac:dyDescent="0.25">
      <c r="A57" s="2" t="s">
        <v>76</v>
      </c>
      <c r="B57" s="2" t="s">
        <v>690</v>
      </c>
      <c r="C57" s="2" t="s">
        <v>691</v>
      </c>
      <c r="D57" s="2" t="s">
        <v>580</v>
      </c>
      <c r="E57" s="3">
        <v>45262</v>
      </c>
    </row>
    <row r="58" spans="1:5" x14ac:dyDescent="0.25">
      <c r="A58" s="2" t="s">
        <v>692</v>
      </c>
      <c r="B58" s="2" t="s">
        <v>693</v>
      </c>
      <c r="C58" s="2" t="s">
        <v>694</v>
      </c>
      <c r="D58" s="2" t="s">
        <v>590</v>
      </c>
      <c r="E58" s="3">
        <v>45129</v>
      </c>
    </row>
    <row r="59" spans="1:5" x14ac:dyDescent="0.25">
      <c r="A59" s="2" t="s">
        <v>255</v>
      </c>
      <c r="B59" s="2" t="s">
        <v>695</v>
      </c>
      <c r="C59" s="2" t="s">
        <v>696</v>
      </c>
      <c r="D59" s="2" t="s">
        <v>575</v>
      </c>
      <c r="E59" s="3">
        <v>45161</v>
      </c>
    </row>
    <row r="60" spans="1:5" x14ac:dyDescent="0.25">
      <c r="A60" s="2" t="s">
        <v>111</v>
      </c>
      <c r="B60" s="2" t="s">
        <v>697</v>
      </c>
      <c r="C60" s="2" t="s">
        <v>698</v>
      </c>
      <c r="D60" s="2" t="s">
        <v>580</v>
      </c>
      <c r="E60" s="3">
        <v>45062</v>
      </c>
    </row>
    <row r="61" spans="1:5" x14ac:dyDescent="0.25">
      <c r="A61" s="2" t="s">
        <v>25</v>
      </c>
      <c r="B61" s="2" t="s">
        <v>699</v>
      </c>
      <c r="C61" s="2" t="s">
        <v>700</v>
      </c>
      <c r="D61" s="2" t="s">
        <v>580</v>
      </c>
      <c r="E61" s="3">
        <v>45053</v>
      </c>
    </row>
    <row r="62" spans="1:5" x14ac:dyDescent="0.25">
      <c r="A62" s="2" t="s">
        <v>65</v>
      </c>
      <c r="B62" s="2" t="s">
        <v>701</v>
      </c>
      <c r="C62" s="2" t="s">
        <v>702</v>
      </c>
      <c r="D62" s="2" t="s">
        <v>575</v>
      </c>
      <c r="E62" s="3">
        <v>45214</v>
      </c>
    </row>
    <row r="63" spans="1:5" x14ac:dyDescent="0.25">
      <c r="A63" s="2" t="s">
        <v>174</v>
      </c>
      <c r="B63" s="2" t="s">
        <v>703</v>
      </c>
      <c r="C63" s="2" t="s">
        <v>704</v>
      </c>
      <c r="D63" s="2" t="s">
        <v>597</v>
      </c>
      <c r="E63" s="3">
        <v>45061</v>
      </c>
    </row>
    <row r="64" spans="1:5" x14ac:dyDescent="0.25">
      <c r="A64" s="2" t="s">
        <v>209</v>
      </c>
      <c r="B64" s="2" t="s">
        <v>705</v>
      </c>
      <c r="C64" s="2" t="s">
        <v>706</v>
      </c>
      <c r="D64" s="2" t="s">
        <v>575</v>
      </c>
      <c r="E64" s="3">
        <v>45226</v>
      </c>
    </row>
    <row r="65" spans="1:5" x14ac:dyDescent="0.25">
      <c r="A65" s="2" t="s">
        <v>218</v>
      </c>
      <c r="B65" s="2" t="s">
        <v>707</v>
      </c>
      <c r="C65" s="2" t="s">
        <v>708</v>
      </c>
      <c r="D65" s="2" t="s">
        <v>590</v>
      </c>
      <c r="E65" s="3">
        <v>45225</v>
      </c>
    </row>
    <row r="66" spans="1:5" x14ac:dyDescent="0.25">
      <c r="A66" s="2" t="s">
        <v>709</v>
      </c>
      <c r="B66" s="2" t="s">
        <v>710</v>
      </c>
      <c r="C66" s="2" t="s">
        <v>711</v>
      </c>
      <c r="D66" s="2" t="s">
        <v>590</v>
      </c>
      <c r="E66" s="3">
        <v>45112</v>
      </c>
    </row>
    <row r="67" spans="1:5" x14ac:dyDescent="0.25">
      <c r="A67" s="2" t="s">
        <v>145</v>
      </c>
      <c r="B67" s="2" t="s">
        <v>712</v>
      </c>
      <c r="C67" s="2" t="s">
        <v>713</v>
      </c>
      <c r="D67" s="2" t="s">
        <v>580</v>
      </c>
      <c r="E67" s="3">
        <v>44997</v>
      </c>
    </row>
    <row r="68" spans="1:5" x14ac:dyDescent="0.25">
      <c r="A68" s="2" t="s">
        <v>264</v>
      </c>
      <c r="B68" s="2" t="s">
        <v>714</v>
      </c>
      <c r="C68" s="2" t="s">
        <v>715</v>
      </c>
      <c r="D68" s="2" t="s">
        <v>597</v>
      </c>
      <c r="E68" s="3">
        <v>45179</v>
      </c>
    </row>
    <row r="69" spans="1:5" x14ac:dyDescent="0.25">
      <c r="A69" s="2" t="s">
        <v>334</v>
      </c>
      <c r="B69" s="2" t="s">
        <v>716</v>
      </c>
      <c r="C69" s="2" t="s">
        <v>717</v>
      </c>
      <c r="D69" s="2" t="s">
        <v>580</v>
      </c>
      <c r="E69" s="3">
        <v>44951</v>
      </c>
    </row>
    <row r="70" spans="1:5" x14ac:dyDescent="0.25">
      <c r="A70" s="2" t="s">
        <v>198</v>
      </c>
      <c r="B70" s="2" t="s">
        <v>718</v>
      </c>
      <c r="C70" s="2" t="s">
        <v>719</v>
      </c>
      <c r="D70" s="2" t="s">
        <v>580</v>
      </c>
      <c r="E70" s="3">
        <v>45005</v>
      </c>
    </row>
    <row r="71" spans="1:5" x14ac:dyDescent="0.25">
      <c r="A71" s="2" t="s">
        <v>384</v>
      </c>
      <c r="B71" s="2" t="s">
        <v>720</v>
      </c>
      <c r="C71" s="2" t="s">
        <v>721</v>
      </c>
      <c r="D71" s="2" t="s">
        <v>575</v>
      </c>
      <c r="E71" s="3">
        <v>45008</v>
      </c>
    </row>
    <row r="72" spans="1:5" x14ac:dyDescent="0.25">
      <c r="A72" s="2" t="s">
        <v>54</v>
      </c>
      <c r="B72" s="2" t="s">
        <v>722</v>
      </c>
      <c r="C72" s="2" t="s">
        <v>723</v>
      </c>
      <c r="D72" s="2" t="s">
        <v>575</v>
      </c>
      <c r="E72" s="3">
        <v>45143</v>
      </c>
    </row>
    <row r="73" spans="1:5" x14ac:dyDescent="0.25">
      <c r="A73" s="2" t="s">
        <v>289</v>
      </c>
      <c r="B73" s="2" t="s">
        <v>724</v>
      </c>
      <c r="C73" s="2" t="s">
        <v>725</v>
      </c>
      <c r="D73" s="2" t="s">
        <v>597</v>
      </c>
      <c r="E73" s="3">
        <v>44959</v>
      </c>
    </row>
    <row r="74" spans="1:5" x14ac:dyDescent="0.25">
      <c r="A74" s="2" t="s">
        <v>93</v>
      </c>
      <c r="B74" s="2" t="s">
        <v>726</v>
      </c>
      <c r="C74" s="2" t="s">
        <v>727</v>
      </c>
      <c r="D74" s="2" t="s">
        <v>590</v>
      </c>
      <c r="E74" s="3">
        <v>45122</v>
      </c>
    </row>
    <row r="75" spans="1:5" x14ac:dyDescent="0.25">
      <c r="A75" s="2" t="s">
        <v>307</v>
      </c>
      <c r="B75" s="2" t="s">
        <v>728</v>
      </c>
      <c r="C75" s="2" t="s">
        <v>729</v>
      </c>
      <c r="D75" s="2" t="s">
        <v>597</v>
      </c>
      <c r="E75" s="3">
        <v>45166</v>
      </c>
    </row>
    <row r="76" spans="1:5" x14ac:dyDescent="0.25">
      <c r="A76" s="2" t="s">
        <v>143</v>
      </c>
      <c r="B76" s="2" t="s">
        <v>730</v>
      </c>
      <c r="C76" s="2" t="s">
        <v>731</v>
      </c>
      <c r="D76" s="2" t="s">
        <v>597</v>
      </c>
      <c r="E76" s="3">
        <v>45055</v>
      </c>
    </row>
    <row r="77" spans="1:5" x14ac:dyDescent="0.25">
      <c r="A77" s="2" t="s">
        <v>278</v>
      </c>
      <c r="B77" s="2" t="s">
        <v>732</v>
      </c>
      <c r="C77" s="2" t="s">
        <v>733</v>
      </c>
      <c r="D77" s="2" t="s">
        <v>597</v>
      </c>
      <c r="E77" s="3">
        <v>44932</v>
      </c>
    </row>
    <row r="78" spans="1:5" x14ac:dyDescent="0.25">
      <c r="A78" s="2" t="s">
        <v>10</v>
      </c>
      <c r="B78" s="2" t="s">
        <v>734</v>
      </c>
      <c r="C78" s="2" t="s">
        <v>735</v>
      </c>
      <c r="D78" s="2" t="s">
        <v>575</v>
      </c>
      <c r="E78" s="3">
        <v>44985</v>
      </c>
    </row>
    <row r="79" spans="1:5" x14ac:dyDescent="0.25">
      <c r="A79" s="2" t="s">
        <v>363</v>
      </c>
      <c r="B79" s="2" t="s">
        <v>736</v>
      </c>
      <c r="C79" s="2" t="s">
        <v>737</v>
      </c>
      <c r="D79" s="2" t="s">
        <v>575</v>
      </c>
      <c r="E79" s="3">
        <v>45201</v>
      </c>
    </row>
    <row r="80" spans="1:5" x14ac:dyDescent="0.25">
      <c r="A80" s="2" t="s">
        <v>159</v>
      </c>
      <c r="B80" s="2" t="s">
        <v>738</v>
      </c>
      <c r="C80" s="2" t="s">
        <v>739</v>
      </c>
      <c r="D80" s="2" t="s">
        <v>590</v>
      </c>
      <c r="E80" s="3">
        <v>45255</v>
      </c>
    </row>
    <row r="81" spans="1:5" x14ac:dyDescent="0.25">
      <c r="A81" s="2" t="s">
        <v>51</v>
      </c>
      <c r="B81" s="2" t="s">
        <v>740</v>
      </c>
      <c r="C81" s="2" t="s">
        <v>741</v>
      </c>
      <c r="D81" s="2" t="s">
        <v>590</v>
      </c>
      <c r="E81" s="3">
        <v>44984</v>
      </c>
    </row>
    <row r="82" spans="1:5" x14ac:dyDescent="0.25">
      <c r="A82" s="2" t="s">
        <v>101</v>
      </c>
      <c r="B82" s="2" t="s">
        <v>742</v>
      </c>
      <c r="C82" s="2" t="s">
        <v>743</v>
      </c>
      <c r="D82" s="2" t="s">
        <v>590</v>
      </c>
      <c r="E82" s="3">
        <v>45149</v>
      </c>
    </row>
    <row r="83" spans="1:5" x14ac:dyDescent="0.25">
      <c r="A83" s="2" t="s">
        <v>83</v>
      </c>
      <c r="B83" s="2" t="s">
        <v>744</v>
      </c>
      <c r="C83" s="2" t="s">
        <v>745</v>
      </c>
      <c r="D83" s="2" t="s">
        <v>580</v>
      </c>
      <c r="E83" s="3">
        <v>45159</v>
      </c>
    </row>
    <row r="84" spans="1:5" x14ac:dyDescent="0.25">
      <c r="A84" s="2" t="s">
        <v>57</v>
      </c>
      <c r="B84" s="2" t="s">
        <v>746</v>
      </c>
      <c r="C84" s="2" t="s">
        <v>747</v>
      </c>
      <c r="D84" s="2" t="s">
        <v>580</v>
      </c>
      <c r="E84" s="3">
        <v>45061</v>
      </c>
    </row>
    <row r="85" spans="1:5" x14ac:dyDescent="0.25">
      <c r="A85" s="2" t="s">
        <v>131</v>
      </c>
      <c r="B85" s="2" t="s">
        <v>748</v>
      </c>
      <c r="C85" s="2" t="s">
        <v>749</v>
      </c>
      <c r="D85" s="2" t="s">
        <v>597</v>
      </c>
      <c r="E85" s="3">
        <v>45018</v>
      </c>
    </row>
    <row r="86" spans="1:5" x14ac:dyDescent="0.25">
      <c r="A86" s="2" t="s">
        <v>128</v>
      </c>
      <c r="B86" s="2" t="s">
        <v>750</v>
      </c>
      <c r="C86" s="2" t="s">
        <v>751</v>
      </c>
      <c r="D86" s="2" t="s">
        <v>597</v>
      </c>
      <c r="E86" s="3">
        <v>44981</v>
      </c>
    </row>
    <row r="87" spans="1:5" x14ac:dyDescent="0.25">
      <c r="A87" s="2" t="s">
        <v>107</v>
      </c>
      <c r="B87" s="2" t="s">
        <v>752</v>
      </c>
      <c r="C87" s="2" t="s">
        <v>753</v>
      </c>
      <c r="D87" s="2" t="s">
        <v>575</v>
      </c>
      <c r="E87" s="3">
        <v>45079</v>
      </c>
    </row>
    <row r="88" spans="1:5" x14ac:dyDescent="0.25">
      <c r="A88" s="2" t="s">
        <v>185</v>
      </c>
      <c r="B88" s="2" t="s">
        <v>754</v>
      </c>
      <c r="C88" s="2" t="s">
        <v>755</v>
      </c>
      <c r="D88" s="2" t="s">
        <v>575</v>
      </c>
      <c r="E88" s="3">
        <v>45186</v>
      </c>
    </row>
    <row r="89" spans="1:5" x14ac:dyDescent="0.25">
      <c r="A89" s="2" t="s">
        <v>182</v>
      </c>
      <c r="B89" s="2" t="s">
        <v>756</v>
      </c>
      <c r="C89" s="2" t="s">
        <v>757</v>
      </c>
      <c r="D89" s="2" t="s">
        <v>597</v>
      </c>
      <c r="E89" s="3">
        <v>45028</v>
      </c>
    </row>
    <row r="90" spans="1:5" x14ac:dyDescent="0.25">
      <c r="A90" s="2" t="s">
        <v>85</v>
      </c>
      <c r="B90" s="2" t="s">
        <v>758</v>
      </c>
      <c r="C90" s="2" t="s">
        <v>759</v>
      </c>
      <c r="D90" s="2" t="s">
        <v>580</v>
      </c>
      <c r="E90" s="3">
        <v>45118</v>
      </c>
    </row>
    <row r="91" spans="1:5" x14ac:dyDescent="0.25">
      <c r="A91" s="2" t="s">
        <v>451</v>
      </c>
      <c r="B91" s="2" t="s">
        <v>760</v>
      </c>
      <c r="C91" s="2" t="s">
        <v>761</v>
      </c>
      <c r="D91" s="2" t="s">
        <v>580</v>
      </c>
      <c r="E91" s="3">
        <v>45203</v>
      </c>
    </row>
    <row r="92" spans="1:5" x14ac:dyDescent="0.25">
      <c r="A92" s="2" t="s">
        <v>13</v>
      </c>
      <c r="B92" s="2" t="s">
        <v>762</v>
      </c>
      <c r="C92" s="2" t="s">
        <v>763</v>
      </c>
      <c r="D92" s="2" t="s">
        <v>597</v>
      </c>
      <c r="E92" s="3">
        <v>44927</v>
      </c>
    </row>
    <row r="93" spans="1:5" x14ac:dyDescent="0.25">
      <c r="A93" s="2" t="s">
        <v>91</v>
      </c>
      <c r="B93" s="2" t="s">
        <v>764</v>
      </c>
      <c r="C93" s="2" t="s">
        <v>765</v>
      </c>
      <c r="D93" s="2" t="s">
        <v>597</v>
      </c>
      <c r="E93" s="3">
        <v>45092</v>
      </c>
    </row>
    <row r="94" spans="1:5" x14ac:dyDescent="0.25">
      <c r="A94" s="2" t="s">
        <v>315</v>
      </c>
      <c r="B94" s="2" t="s">
        <v>766</v>
      </c>
      <c r="C94" s="2" t="s">
        <v>767</v>
      </c>
      <c r="D94" s="2" t="s">
        <v>590</v>
      </c>
      <c r="E94" s="3">
        <v>44936</v>
      </c>
    </row>
    <row r="95" spans="1:5" x14ac:dyDescent="0.25">
      <c r="A95" s="2" t="s">
        <v>188</v>
      </c>
      <c r="B95" s="2" t="s">
        <v>768</v>
      </c>
      <c r="C95" s="2" t="s">
        <v>769</v>
      </c>
      <c r="D95" s="2" t="s">
        <v>580</v>
      </c>
      <c r="E95" s="3">
        <v>45112</v>
      </c>
    </row>
    <row r="96" spans="1:5" x14ac:dyDescent="0.25">
      <c r="A96" s="2" t="s">
        <v>396</v>
      </c>
      <c r="B96" s="2" t="s">
        <v>770</v>
      </c>
      <c r="C96" s="2" t="s">
        <v>771</v>
      </c>
      <c r="D96" s="2" t="s">
        <v>590</v>
      </c>
      <c r="E96" s="3">
        <v>45049</v>
      </c>
    </row>
    <row r="97" spans="1:5" x14ac:dyDescent="0.25">
      <c r="A97" s="2" t="s">
        <v>120</v>
      </c>
      <c r="B97" s="2" t="s">
        <v>772</v>
      </c>
      <c r="C97" s="2" t="s">
        <v>773</v>
      </c>
      <c r="D97" s="2" t="s">
        <v>580</v>
      </c>
      <c r="E97" s="3">
        <v>45050</v>
      </c>
    </row>
    <row r="98" spans="1:5" x14ac:dyDescent="0.25">
      <c r="A98" s="2" t="s">
        <v>16</v>
      </c>
      <c r="B98" s="2" t="s">
        <v>774</v>
      </c>
      <c r="C98" s="2" t="s">
        <v>775</v>
      </c>
      <c r="D98" s="2" t="s">
        <v>597</v>
      </c>
      <c r="E98" s="3">
        <v>44967</v>
      </c>
    </row>
    <row r="99" spans="1:5" x14ac:dyDescent="0.25">
      <c r="A99" s="2" t="s">
        <v>80</v>
      </c>
      <c r="B99" s="2" t="s">
        <v>776</v>
      </c>
      <c r="C99" s="2" t="s">
        <v>777</v>
      </c>
      <c r="D99" s="2" t="s">
        <v>580</v>
      </c>
      <c r="E99" s="3">
        <v>45175</v>
      </c>
    </row>
    <row r="100" spans="1:5" x14ac:dyDescent="0.25">
      <c r="A100" s="2" t="s">
        <v>95</v>
      </c>
      <c r="B100" s="2" t="s">
        <v>778</v>
      </c>
      <c r="C100" s="2" t="s">
        <v>779</v>
      </c>
      <c r="D100" s="2" t="s">
        <v>580</v>
      </c>
      <c r="E100" s="3">
        <v>45199</v>
      </c>
    </row>
    <row r="101" spans="1:5" x14ac:dyDescent="0.25">
      <c r="A101" s="2" t="s">
        <v>105</v>
      </c>
      <c r="B101" s="2" t="s">
        <v>780</v>
      </c>
      <c r="C101" s="2" t="s">
        <v>781</v>
      </c>
      <c r="D101" s="2" t="s">
        <v>580</v>
      </c>
      <c r="E101" s="3">
        <v>44992</v>
      </c>
    </row>
    <row r="102" spans="1:5" x14ac:dyDescent="0.25">
      <c r="A102" s="2" t="s">
        <v>141</v>
      </c>
      <c r="B102" s="2" t="s">
        <v>782</v>
      </c>
      <c r="C102" s="2" t="s">
        <v>783</v>
      </c>
      <c r="D102" s="2" t="s">
        <v>575</v>
      </c>
      <c r="E102" s="3">
        <v>45170</v>
      </c>
    </row>
    <row r="103" spans="1:5" x14ac:dyDescent="0.25">
      <c r="A103" s="2" t="s">
        <v>62</v>
      </c>
      <c r="B103" s="2" t="s">
        <v>784</v>
      </c>
      <c r="C103" s="2" t="s">
        <v>785</v>
      </c>
      <c r="D103" s="2" t="s">
        <v>597</v>
      </c>
      <c r="E103" s="3">
        <v>45011</v>
      </c>
    </row>
    <row r="104" spans="1:5" x14ac:dyDescent="0.25">
      <c r="A104" s="2" t="s">
        <v>302</v>
      </c>
      <c r="B104" s="2" t="s">
        <v>786</v>
      </c>
      <c r="C104" s="2" t="s">
        <v>787</v>
      </c>
      <c r="D104" s="2" t="s">
        <v>590</v>
      </c>
      <c r="E104" s="3">
        <v>45197</v>
      </c>
    </row>
    <row r="105" spans="1:5" x14ac:dyDescent="0.25">
      <c r="A105" s="2" t="s">
        <v>67</v>
      </c>
      <c r="B105" s="2" t="s">
        <v>788</v>
      </c>
      <c r="C105" s="2" t="s">
        <v>789</v>
      </c>
      <c r="D105" s="2" t="s">
        <v>597</v>
      </c>
      <c r="E105" s="3">
        <v>45143</v>
      </c>
    </row>
    <row r="106" spans="1:5" x14ac:dyDescent="0.25">
      <c r="A106" s="2" t="s">
        <v>238</v>
      </c>
      <c r="B106" s="2" t="s">
        <v>790</v>
      </c>
      <c r="C106" s="2" t="s">
        <v>791</v>
      </c>
      <c r="D106" s="2" t="s">
        <v>580</v>
      </c>
      <c r="E106" s="3">
        <v>45203</v>
      </c>
    </row>
    <row r="107" spans="1:5" x14ac:dyDescent="0.25">
      <c r="A107" s="2" t="s">
        <v>222</v>
      </c>
      <c r="B107" s="2" t="s">
        <v>792</v>
      </c>
      <c r="C107" s="2" t="s">
        <v>793</v>
      </c>
      <c r="D107" s="2" t="s">
        <v>575</v>
      </c>
      <c r="E107" s="3">
        <v>45280</v>
      </c>
    </row>
    <row r="108" spans="1:5" x14ac:dyDescent="0.25">
      <c r="A108" s="2" t="s">
        <v>180</v>
      </c>
      <c r="B108" s="2" t="s">
        <v>794</v>
      </c>
      <c r="C108" s="2" t="s">
        <v>795</v>
      </c>
      <c r="D108" s="2" t="s">
        <v>580</v>
      </c>
      <c r="E108" s="3">
        <v>45292</v>
      </c>
    </row>
    <row r="109" spans="1:5" x14ac:dyDescent="0.25">
      <c r="A109" s="2" t="s">
        <v>436</v>
      </c>
      <c r="B109" s="2" t="s">
        <v>796</v>
      </c>
      <c r="C109" s="2" t="s">
        <v>797</v>
      </c>
      <c r="D109" s="2" t="s">
        <v>590</v>
      </c>
      <c r="E109" s="3">
        <v>45131</v>
      </c>
    </row>
    <row r="110" spans="1:5" x14ac:dyDescent="0.25">
      <c r="A110" s="2" t="s">
        <v>388</v>
      </c>
      <c r="B110" s="2" t="s">
        <v>798</v>
      </c>
      <c r="C110" s="2" t="s">
        <v>799</v>
      </c>
      <c r="D110" s="2" t="s">
        <v>575</v>
      </c>
      <c r="E110" s="3">
        <v>45259</v>
      </c>
    </row>
    <row r="111" spans="1:5" x14ac:dyDescent="0.25">
      <c r="A111" s="2" t="s">
        <v>37</v>
      </c>
      <c r="B111" s="2" t="s">
        <v>800</v>
      </c>
      <c r="C111" s="2" t="s">
        <v>801</v>
      </c>
      <c r="D111" s="2" t="s">
        <v>590</v>
      </c>
      <c r="E111" s="3">
        <v>45151</v>
      </c>
    </row>
    <row r="112" spans="1:5" x14ac:dyDescent="0.25">
      <c r="A112" s="2" t="s">
        <v>172</v>
      </c>
      <c r="B112" s="2" t="s">
        <v>802</v>
      </c>
      <c r="C112" s="2" t="s">
        <v>803</v>
      </c>
      <c r="D112" s="2" t="s">
        <v>597</v>
      </c>
      <c r="E112" s="3">
        <v>45158</v>
      </c>
    </row>
    <row r="113" spans="1:5" x14ac:dyDescent="0.25">
      <c r="A113" s="2" t="s">
        <v>297</v>
      </c>
      <c r="B113" s="2" t="s">
        <v>804</v>
      </c>
      <c r="C113" s="2" t="s">
        <v>805</v>
      </c>
      <c r="D113" s="2" t="s">
        <v>580</v>
      </c>
      <c r="E113" s="3">
        <v>45053</v>
      </c>
    </row>
    <row r="114" spans="1:5" x14ac:dyDescent="0.25">
      <c r="A114" s="2" t="s">
        <v>167</v>
      </c>
      <c r="B114" s="2" t="s">
        <v>806</v>
      </c>
      <c r="C114" s="2" t="s">
        <v>807</v>
      </c>
      <c r="D114" s="2" t="s">
        <v>580</v>
      </c>
      <c r="E114" s="3">
        <v>44959</v>
      </c>
    </row>
    <row r="115" spans="1:5" x14ac:dyDescent="0.25">
      <c r="A115" s="2" t="s">
        <v>247</v>
      </c>
      <c r="B115" s="2" t="s">
        <v>808</v>
      </c>
      <c r="C115" s="2" t="s">
        <v>809</v>
      </c>
      <c r="D115" s="2" t="s">
        <v>590</v>
      </c>
      <c r="E115" s="3">
        <v>44937</v>
      </c>
    </row>
    <row r="116" spans="1:5" x14ac:dyDescent="0.25">
      <c r="A116" s="2" t="s">
        <v>7</v>
      </c>
      <c r="B116" s="2" t="s">
        <v>810</v>
      </c>
      <c r="C116" s="2" t="s">
        <v>811</v>
      </c>
      <c r="D116" s="2" t="s">
        <v>597</v>
      </c>
      <c r="E116" s="3">
        <v>45210</v>
      </c>
    </row>
    <row r="117" spans="1:5" x14ac:dyDescent="0.25">
      <c r="A117" s="2" t="s">
        <v>116</v>
      </c>
      <c r="B117" s="2" t="s">
        <v>812</v>
      </c>
      <c r="C117" s="2" t="s">
        <v>813</v>
      </c>
      <c r="D117" s="2" t="s">
        <v>580</v>
      </c>
      <c r="E117" s="3">
        <v>45228</v>
      </c>
    </row>
    <row r="118" spans="1:5" x14ac:dyDescent="0.25">
      <c r="A118" s="2" t="s">
        <v>391</v>
      </c>
      <c r="B118" s="2" t="s">
        <v>814</v>
      </c>
      <c r="C118" s="2" t="s">
        <v>815</v>
      </c>
      <c r="D118" s="2" t="s">
        <v>580</v>
      </c>
      <c r="E118" s="3">
        <v>44930</v>
      </c>
    </row>
    <row r="119" spans="1:5" x14ac:dyDescent="0.25">
      <c r="A119" s="2" t="s">
        <v>318</v>
      </c>
      <c r="B119" s="2" t="s">
        <v>816</v>
      </c>
      <c r="C119" s="2" t="s">
        <v>817</v>
      </c>
      <c r="D119" s="2" t="s">
        <v>580</v>
      </c>
      <c r="E119" s="3">
        <v>45289</v>
      </c>
    </row>
    <row r="120" spans="1:5" x14ac:dyDescent="0.25">
      <c r="A120" s="2" t="s">
        <v>233</v>
      </c>
      <c r="B120" s="2" t="s">
        <v>818</v>
      </c>
      <c r="C120" s="2" t="s">
        <v>819</v>
      </c>
      <c r="D120" s="2" t="s">
        <v>575</v>
      </c>
      <c r="E120" s="3">
        <v>44957</v>
      </c>
    </row>
    <row r="121" spans="1:5" x14ac:dyDescent="0.25">
      <c r="A121" s="2" t="s">
        <v>299</v>
      </c>
      <c r="B121" s="2" t="s">
        <v>820</v>
      </c>
      <c r="C121" s="2" t="s">
        <v>821</v>
      </c>
      <c r="D121" s="2" t="s">
        <v>580</v>
      </c>
      <c r="E121" s="3">
        <v>44961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Pivottable</vt:lpstr>
      <vt:lpstr>Dashboard</vt:lpstr>
      <vt:lpstr>Sales</vt:lpstr>
      <vt:lpstr>Products</vt:lpstr>
      <vt:lpstr>Customer_info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Solomon</dc:creator>
  <cp:lastModifiedBy>Bildad Yohanna</cp:lastModifiedBy>
  <dcterms:created xsi:type="dcterms:W3CDTF">2025-12-31T10:28:12Z</dcterms:created>
  <dcterms:modified xsi:type="dcterms:W3CDTF">2026-01-24T21:04:17Z</dcterms:modified>
</cp:coreProperties>
</file>